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09FAF3B-75F3-4D04-BFE5-81BEB64843CB}" xr6:coauthVersionLast="47" xr6:coauthVersionMax="47" xr10:uidLastSave="{00000000-0000-0000-0000-000000000000}"/>
  <bookViews>
    <workbookView xWindow="-108" yWindow="-108" windowWidth="23256" windowHeight="12456" firstSheet="1" activeTab="1" xr2:uid="{44DD41BC-2E92-4ACF-A8FC-5CC6BF1F3B0B}"/>
  </bookViews>
  <sheets>
    <sheet name="Pivot Report" sheetId="1" r:id="rId1"/>
    <sheet name="Dashboard" sheetId="2" r:id="rId2"/>
    <sheet name="Daily ER No. of Patient" sheetId="4" r:id="rId3"/>
    <sheet name="Average wait time daily trends" sheetId="6" r:id="rId4"/>
    <sheet name="statisfaction score daily trend" sheetId="8"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252da70-3070-4281-95dd-41e519ade1dd" name="Hospital Emergency Room Data" connection="Query - Hospital Emergency Room Data"/>
          <x15:modelTable id="Calendar_Table_82035a1c-903c-4872-b5c0-8df2d890fb97"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 i="1" l="1"/>
  <c r="B51" i="1"/>
  <c r="A52"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BB73D-8951-469D-B2B7-3EDAB4F7AEB9}" name="Query - Calendar_Table" description="Connection to the 'Calendar_Table' query in the workbook." type="100" refreshedVersion="8" minRefreshableVersion="5">
    <extLst>
      <ext xmlns:x15="http://schemas.microsoft.com/office/spreadsheetml/2010/11/main" uri="{DE250136-89BD-433C-8126-D09CA5730AF9}">
        <x15:connection id="891022ff-2e2f-4f34-ad81-0dec05bbc0f7">
          <x15:oledbPr connection="Provider=Microsoft.Mashup.OleDb.1;Data Source=$Workbook$;Location=Calendar_Table;Extended Properties=&quot;&quot;">
            <x15:dbTables>
              <x15:dbTable name="Calendar_Table"/>
            </x15:dbTables>
          </x15:oledbPr>
        </x15:connection>
      </ext>
    </extLst>
  </connection>
  <connection id="2" xr16:uid="{6F79DA63-5CD8-4FCF-B0AA-67F9CD52A5D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b39710d-62c6-4530-88a9-d7845b9148d4"/>
      </ext>
    </extLst>
  </connection>
  <connection id="3" xr16:uid="{FDAECD12-16B8-462A-9852-236B84F8DA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<sst xmlns="http://schemas.openxmlformats.org/spreadsheetml/2006/main" count="157" uniqueCount="78">
  <si>
    <t>Row Labels</t>
  </si>
  <si>
    <t>Grand Total</t>
  </si>
  <si>
    <t>Distinct Count of Patient Id</t>
  </si>
  <si>
    <t>No.of patient</t>
  </si>
  <si>
    <t>Average of Patient Waittime</t>
  </si>
  <si>
    <t>Average of Patient Satisfaction Score</t>
  </si>
  <si>
    <t>Male</t>
  </si>
  <si>
    <t>None</t>
  </si>
  <si>
    <t>Admitted</t>
  </si>
  <si>
    <t>60-69</t>
  </si>
  <si>
    <t>Ontime</t>
  </si>
  <si>
    <t>10-19</t>
  </si>
  <si>
    <t>Deleay</t>
  </si>
  <si>
    <t>70-79</t>
  </si>
  <si>
    <t>40-49</t>
  </si>
  <si>
    <t>50-59</t>
  </si>
  <si>
    <t>0-09</t>
  </si>
  <si>
    <t>20-29</t>
  </si>
  <si>
    <t>30-39</t>
  </si>
  <si>
    <t>Female</t>
  </si>
  <si>
    <t>Not Admitted</t>
  </si>
  <si>
    <t xml:space="preserve">Showing a daily trend with an area sparkline to spot patterns like busy days or seasonal trend </t>
  </si>
  <si>
    <t>Dashboard!A1</t>
  </si>
  <si>
    <t>daily trends of no of patient</t>
  </si>
  <si>
    <t>average wait time</t>
  </si>
  <si>
    <t>satisfaction score daily trends</t>
  </si>
  <si>
    <t>Use an area chart to show trends, spot drops in satisfaction , and link them to busy times, or challenges.</t>
  </si>
  <si>
    <t>Count of Patient Admission Flag</t>
  </si>
  <si>
    <t>Count of Patient Admission Flag2</t>
  </si>
  <si>
    <t>Admission Status</t>
  </si>
  <si>
    <t>No. of Patient</t>
  </si>
  <si>
    <t>General Practice</t>
  </si>
  <si>
    <t>Orthopedics</t>
  </si>
  <si>
    <t>Physiotherapy</t>
  </si>
  <si>
    <t>Cardiology</t>
  </si>
  <si>
    <t>Neurology</t>
  </si>
  <si>
    <t>Gastroenterology</t>
  </si>
  <si>
    <t>Renal</t>
  </si>
  <si>
    <t>% Status</t>
  </si>
  <si>
    <t>Count of Age Group</t>
  </si>
  <si>
    <t>age group wise anyalsis</t>
  </si>
  <si>
    <t>Count of Patient attend status</t>
  </si>
  <si>
    <t>attended status</t>
  </si>
  <si>
    <t>Count of Patient Gender</t>
  </si>
  <si>
    <t>Gender</t>
  </si>
  <si>
    <t>Count of Department Referral</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</si>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</sst>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u/>
      <sz val="11"/>
      <color theme="10"/>
      <name val="Calibri"/>
      <family val="2"/>
      <scheme val="minor"/>
    </font>
    <font>
      <sz val="8"/>
      <color rgb="FF00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3" borderId="0" xfId="0" applyFill="1"/>
    <xf numFmtId="0" fontId="1" fillId="3" borderId="0" xfId="1" applyFill="1"/>
    <xf numFmtId="10" fontId="0" fillId="0" borderId="0" xfId="0" applyNumberFormat="1"/>
    <xf numFmtId="0" fontId="0" fillId="4" borderId="0" xfId="0" applyFill="1"/>
    <xf numFmtId="0" fontId="0" fillId="5" borderId="0" xfId="0" applyFill="1"/>
    <xf numFmtId="1" fontId="0" fillId="5" borderId="0" xfId="0" applyNumberFormat="1" applyFill="1" applyAlignment="1">
      <alignment horizontal="center" vertical="center"/>
    </xf>
    <xf numFmtId="9" fontId="0" fillId="5" borderId="0" xfId="0" applyNumberFormat="1" applyFill="1" applyAlignment="1">
      <alignment horizontal="center" vertical="center"/>
    </xf>
    <xf numFmtId="0" fontId="0" fillId="4" borderId="0" xfId="0" applyFill="1" applyAlignment="1">
      <alignment vertical="center"/>
    </xf>
    <xf numFmtId="0" fontId="2" fillId="0" borderId="0" xfId="0" applyFont="1" applyAlignment="1">
      <alignment horizontal="center" vertical="center"/>
    </xf>
  </cellXfs>
  <cellStyles count="2">
    <cellStyle name="Hyperlink" xfId="1" builtinId="8"/>
    <cellStyle name="Normal" xfId="0" builtinId="0"/>
  </cellStyles>
  <dxfs count="17">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FC2B6523-2F5E-4DCA-A23B-965D0492F2C3}">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0D1D50EA-1A76-4D91-9CD5-2949E456D911}"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0CF45AA-AF49-4985-A8B3-7732FDBAA579}"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2.7016730888129751E-3"/>
          <c:y val="2.8978000937558823E-2"/>
          <c:w val="0.89120544165973115"/>
          <c:h val="0.80353081283318595"/>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C0B-442B-BFB3-7B70224AE5E4}"/>
              </c:ext>
            </c:extLst>
          </c:dPt>
          <c:dPt>
            <c:idx val="1"/>
            <c:invertIfNegative val="0"/>
            <c:bubble3D val="0"/>
            <c:extLst>
              <c:ext xmlns:c16="http://schemas.microsoft.com/office/drawing/2014/chart" uri="{C3380CC4-5D6E-409C-BE32-E72D297353CC}">
                <c16:uniqueId val="{00000001-EC0B-442B-BFB3-7B70224AE5E4}"/>
              </c:ext>
            </c:extLst>
          </c:dPt>
          <c:dLbls>
            <c:dLbl>
              <c:idx val="0"/>
              <c:tx>
                <c:rich>
                  <a:bodyPr/>
                  <a:lstStyle/>
                  <a:p>
                    <a:fld id="{70CF45AA-AF49-4985-A8B3-7732FDBAA57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C0B-442B-BFB3-7B70224AE5E4}"/>
                </c:ext>
              </c:extLst>
            </c:dLbl>
            <c:dLbl>
              <c:idx val="1"/>
              <c:tx>
                <c:rich>
                  <a:bodyPr/>
                  <a:lstStyle/>
                  <a:p>
                    <a:fld id="{0D1D50EA-1A76-4D91-9CD5-2949E456D91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C0B-442B-BFB3-7B70224AE5E4}"/>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Report'!$A$42:$A$44</c:f>
              <c:strCache>
                <c:ptCount val="2"/>
                <c:pt idx="0">
                  <c:v>Admitted</c:v>
                </c:pt>
                <c:pt idx="1">
                  <c:v>Not Admitted</c:v>
                </c:pt>
              </c:strCache>
            </c:strRef>
          </c:cat>
          <c:val>
            <c:numRef>
              <c:f>'Pivot Report'!$B$42:$B$44</c:f>
              <c:numCache>
                <c:formatCode>0</c:formatCode>
                <c:ptCount val="2"/>
                <c:pt idx="0">
                  <c:v>247</c:v>
                </c:pt>
                <c:pt idx="1">
                  <c:v>224</c:v>
                </c:pt>
              </c:numCache>
            </c:numRef>
          </c:val>
          <c:extLst>
            <c:ext xmlns:c16="http://schemas.microsoft.com/office/drawing/2014/chart" uri="{C3380CC4-5D6E-409C-BE32-E72D297353CC}">
              <c16:uniqueId val="{00000009-1080-4F0B-A673-98F3A9BA6352}"/>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0.52441613588110403</c:v>
                </c:pt>
                <c:pt idx="1">
                  <c:v>0.47558386411889597</c:v>
                </c:pt>
              </c:numCache>
            </c:numRef>
          </c:val>
          <c:extLst>
            <c:ext xmlns:c16="http://schemas.microsoft.com/office/drawing/2014/chart" uri="{C3380CC4-5D6E-409C-BE32-E72D297353CC}">
              <c16:uniqueId val="{0000000A-1080-4F0B-A673-98F3A9BA6352}"/>
            </c:ext>
          </c:extLst>
        </c:ser>
        <c:dLbls>
          <c:showLegendKey val="0"/>
          <c:showVal val="0"/>
          <c:showCatName val="0"/>
          <c:showSerName val="0"/>
          <c:showPercent val="0"/>
          <c:showBubbleSize val="0"/>
        </c:dLbls>
        <c:gapWidth val="0"/>
        <c:axId val="358337936"/>
        <c:axId val="358340336"/>
      </c:barChart>
      <c:catAx>
        <c:axId val="358337936"/>
        <c:scaling>
          <c:orientation val="minMax"/>
        </c:scaling>
        <c:delete val="1"/>
        <c:axPos val="l"/>
        <c:numFmt formatCode="General" sourceLinked="1"/>
        <c:majorTickMark val="none"/>
        <c:minorTickMark val="none"/>
        <c:tickLblPos val="nextTo"/>
        <c:crossAx val="358340336"/>
        <c:crosses val="autoZero"/>
        <c:auto val="1"/>
        <c:lblAlgn val="ctr"/>
        <c:lblOffset val="100"/>
        <c:noMultiLvlLbl val="0"/>
      </c:catAx>
      <c:valAx>
        <c:axId val="358340336"/>
        <c:scaling>
          <c:orientation val="minMax"/>
        </c:scaling>
        <c:delete val="1"/>
        <c:axPos val="b"/>
        <c:numFmt formatCode="0" sourceLinked="1"/>
        <c:majorTickMark val="none"/>
        <c:minorTickMark val="none"/>
        <c:tickLblPos val="nextTo"/>
        <c:crossAx val="35833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93208081462978"/>
          <c:y val="0.28610588448111074"/>
          <c:w val="0.66955900440495031"/>
          <c:h val="0.32435009764025369"/>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Report'!$D$6:$D$36</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4-BC49-4452-BEAF-83567689D345}"/>
            </c:ext>
          </c:extLst>
        </c:ser>
        <c:dLbls>
          <c:showLegendKey val="0"/>
          <c:showVal val="0"/>
          <c:showCatName val="0"/>
          <c:showSerName val="0"/>
          <c:showPercent val="0"/>
          <c:showBubbleSize val="0"/>
        </c:dLbls>
        <c:axId val="244614048"/>
        <c:axId val="244616448"/>
      </c:areaChart>
      <c:catAx>
        <c:axId val="244614048"/>
        <c:scaling>
          <c:orientation val="minMax"/>
        </c:scaling>
        <c:delete val="1"/>
        <c:axPos val="b"/>
        <c:numFmt formatCode="General" sourceLinked="1"/>
        <c:majorTickMark val="out"/>
        <c:minorTickMark val="none"/>
        <c:tickLblPos val="nextTo"/>
        <c:crossAx val="244616448"/>
        <c:crosses val="autoZero"/>
        <c:auto val="1"/>
        <c:lblAlgn val="ctr"/>
        <c:lblOffset val="100"/>
        <c:noMultiLvlLbl val="0"/>
      </c:catAx>
      <c:valAx>
        <c:axId val="244616448"/>
        <c:scaling>
          <c:orientation val="minMax"/>
        </c:scaling>
        <c:delete val="1"/>
        <c:axPos val="l"/>
        <c:numFmt formatCode="General" sourceLinked="1"/>
        <c:majorTickMark val="none"/>
        <c:minorTickMark val="none"/>
        <c:tickLblPos val="nextTo"/>
        <c:crossAx val="24461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727953704939658"/>
          <c:w val="1"/>
          <c:h val="0.79272046295060339"/>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Report'!$H$6:$H$36</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4-548C-419B-975D-10267C8BD083}"/>
            </c:ext>
          </c:extLst>
        </c:ser>
        <c:dLbls>
          <c:showLegendKey val="0"/>
          <c:showVal val="0"/>
          <c:showCatName val="0"/>
          <c:showSerName val="0"/>
          <c:showPercent val="0"/>
          <c:showBubbleSize val="0"/>
        </c:dLbls>
        <c:axId val="358257296"/>
        <c:axId val="358269776"/>
      </c:areaChart>
      <c:catAx>
        <c:axId val="358257296"/>
        <c:scaling>
          <c:orientation val="minMax"/>
        </c:scaling>
        <c:delete val="1"/>
        <c:axPos val="b"/>
        <c:numFmt formatCode="General" sourceLinked="1"/>
        <c:majorTickMark val="out"/>
        <c:minorTickMark val="none"/>
        <c:tickLblPos val="nextTo"/>
        <c:crossAx val="358269776"/>
        <c:crosses val="autoZero"/>
        <c:auto val="1"/>
        <c:lblAlgn val="ctr"/>
        <c:lblOffset val="100"/>
        <c:noMultiLvlLbl val="0"/>
      </c:catAx>
      <c:valAx>
        <c:axId val="358269776"/>
        <c:scaling>
          <c:orientation val="minMax"/>
        </c:scaling>
        <c:delete val="1"/>
        <c:axPos val="l"/>
        <c:numFmt formatCode="0.00" sourceLinked="1"/>
        <c:majorTickMark val="none"/>
        <c:minorTickMark val="none"/>
        <c:tickLblPos val="nextTo"/>
        <c:crossAx val="35825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56815300602777E-2"/>
          <c:y val="0.21918174240133373"/>
          <c:w val="0.96494292082451727"/>
          <c:h val="0.7808182575986663"/>
        </c:manualLayout>
      </c:layout>
      <c:areaChart>
        <c:grouping val="standard"/>
        <c:varyColors val="0"/>
        <c:ser>
          <c:idx val="0"/>
          <c:order val="0"/>
          <c:tx>
            <c:strRef>
              <c:f>'Pivot Report'!$N$5</c:f>
              <c:strCache>
                <c:ptCount val="1"/>
                <c:pt idx="0">
                  <c:v>Total</c:v>
                </c:pt>
              </c:strCache>
            </c:strRef>
          </c:tx>
          <c:spPr>
            <a:solidFill>
              <a:schemeClr val="accent1"/>
            </a:solidFill>
            <a:ln w="25400">
              <a:noFill/>
            </a:ln>
            <a:effectLst/>
          </c:spPr>
          <c:cat>
            <c:strRef>
              <c:f>'Pivot Report'!$M$6:$M$36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Report'!$N$6:$N$36</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4-68A3-4CAD-8A7F-48EB9E19187C}"/>
            </c:ext>
          </c:extLst>
        </c:ser>
        <c:dLbls>
          <c:showLegendKey val="0"/>
          <c:showVal val="0"/>
          <c:showCatName val="0"/>
          <c:showSerName val="0"/>
          <c:showPercent val="0"/>
          <c:showBubbleSize val="0"/>
        </c:dLbls>
        <c:axId val="118346560"/>
        <c:axId val="118354720"/>
      </c:areaChart>
      <c:catAx>
        <c:axId val="118346560"/>
        <c:scaling>
          <c:orientation val="minMax"/>
        </c:scaling>
        <c:delete val="1"/>
        <c:axPos val="b"/>
        <c:numFmt formatCode="General" sourceLinked="1"/>
        <c:majorTickMark val="out"/>
        <c:minorTickMark val="none"/>
        <c:tickLblPos val="nextTo"/>
        <c:crossAx val="118354720"/>
        <c:crosses val="autoZero"/>
        <c:auto val="1"/>
        <c:lblAlgn val="ctr"/>
        <c:lblOffset val="100"/>
        <c:noMultiLvlLbl val="0"/>
      </c:catAx>
      <c:valAx>
        <c:axId val="118354720"/>
        <c:scaling>
          <c:orientation val="minMax"/>
        </c:scaling>
        <c:delete val="1"/>
        <c:axPos val="l"/>
        <c:numFmt formatCode="0.00" sourceLinked="1"/>
        <c:majorTickMark val="none"/>
        <c:minorTickMark val="none"/>
        <c:tickLblPos val="nextTo"/>
        <c:crossAx val="118346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860893553291E-2"/>
          <c:y val="8.2027654730315244E-2"/>
          <c:w val="0.92127060341827594"/>
          <c:h val="0.60852355603877473"/>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4-EE4F-45C2-B7DA-D3FD8D6686F5}"/>
            </c:ext>
          </c:extLst>
        </c:ser>
        <c:dLbls>
          <c:showLegendKey val="0"/>
          <c:showVal val="0"/>
          <c:showCatName val="0"/>
          <c:showSerName val="0"/>
          <c:showPercent val="0"/>
          <c:showBubbleSize val="0"/>
        </c:dLbls>
        <c:gapWidth val="219"/>
        <c:overlap val="-27"/>
        <c:axId val="414197408"/>
        <c:axId val="414200768"/>
      </c:barChart>
      <c:catAx>
        <c:axId val="41419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414200768"/>
        <c:crosses val="autoZero"/>
        <c:auto val="1"/>
        <c:lblAlgn val="ctr"/>
        <c:lblOffset val="100"/>
        <c:noMultiLvlLbl val="0"/>
      </c:catAx>
      <c:valAx>
        <c:axId val="414200768"/>
        <c:scaling>
          <c:orientation val="minMax"/>
        </c:scaling>
        <c:delete val="1"/>
        <c:axPos val="l"/>
        <c:numFmt formatCode="0" sourceLinked="1"/>
        <c:majorTickMark val="none"/>
        <c:minorTickMark val="none"/>
        <c:tickLblPos val="nextTo"/>
        <c:crossAx val="41419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Report!PivotTable12</c:name>
    <c:fmtId val="13"/>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280599404404549"/>
          <c:y val="0.13250273413284089"/>
          <c:w val="0.66189729065816783"/>
          <c:h val="0.7266977964400323"/>
        </c:manualLayout>
      </c:layout>
      <c:pieChart>
        <c:varyColors val="1"/>
        <c:ser>
          <c:idx val="0"/>
          <c:order val="0"/>
          <c:tx>
            <c:strRef>
              <c:f>'Pivot Report'!$B$73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92-4EB2-A79D-7D3231528AC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92-4EB2-A79D-7D3231528ACD}"/>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Deleay</c:v>
                </c:pt>
                <c:pt idx="1">
                  <c:v>Ontime</c:v>
                </c:pt>
              </c:strCache>
            </c:strRef>
          </c:cat>
          <c:val>
            <c:numRef>
              <c:f>'Pivot Report'!$B$74:$B$76</c:f>
              <c:numCache>
                <c:formatCode>0.00</c:formatCode>
                <c:ptCount val="2"/>
                <c:pt idx="0">
                  <c:v>262</c:v>
                </c:pt>
                <c:pt idx="1">
                  <c:v>209</c:v>
                </c:pt>
              </c:numCache>
            </c:numRef>
          </c:val>
          <c:extLst>
            <c:ext xmlns:c16="http://schemas.microsoft.com/office/drawing/2014/chart" uri="{C3380CC4-5D6E-409C-BE32-E72D297353CC}">
              <c16:uniqueId val="{00000008-6D87-4AD2-923A-23075C992A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8230108443603308E-2"/>
          <c:y val="5.4363625874812478E-3"/>
          <c:w val="0.83791546953587759"/>
          <c:h val="0.1453609807281781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Report!PivotTable13</c:name>
    <c:fmtId val="21"/>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111439346401478"/>
          <c:y val="0.12816629157982545"/>
          <c:w val="0.55085436125315468"/>
          <c:h val="0.74187556861569015"/>
        </c:manualLayout>
      </c:layout>
      <c:doughnutChart>
        <c:varyColors val="1"/>
        <c:ser>
          <c:idx val="0"/>
          <c:order val="0"/>
          <c:tx>
            <c:strRef>
              <c:f>'Pivot Report'!$B$81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242-4E20-B2A5-EE861D0A89D6}"/>
              </c:ext>
            </c:extLst>
          </c:dPt>
          <c:dPt>
            <c:idx val="1"/>
            <c:bubble3D val="0"/>
            <c:spPr>
              <a:solidFill>
                <a:schemeClr val="accent2"/>
              </a:solidFill>
              <a:ln>
                <a:noFill/>
              </a:ln>
              <a:effectLst/>
            </c:spPr>
            <c:extLst>
              <c:ext xmlns:c16="http://schemas.microsoft.com/office/drawing/2014/chart" uri="{C3380CC4-5D6E-409C-BE32-E72D297353CC}">
                <c16:uniqueId val="{00000003-0242-4E20-B2A5-EE861D0A89D6}"/>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0.00</c:formatCode>
                <c:ptCount val="2"/>
                <c:pt idx="0">
                  <c:v>227</c:v>
                </c:pt>
                <c:pt idx="1">
                  <c:v>244</c:v>
                </c:pt>
              </c:numCache>
            </c:numRef>
          </c:val>
          <c:extLst>
            <c:ext xmlns:c16="http://schemas.microsoft.com/office/drawing/2014/chart" uri="{C3380CC4-5D6E-409C-BE32-E72D297353CC}">
              <c16:uniqueId val="{00000008-CC75-4BC0-BEB7-FE642DAD9199}"/>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4.6842092968645305E-2"/>
          <c:y val="5.2692524602636964E-3"/>
          <c:w val="0.84377952755905516"/>
          <c:h val="0.1271598995624126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Report!PivotTable14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25065421610865"/>
          <c:y val="3.2235569585101681E-2"/>
          <c:w val="0.67230426001874677"/>
          <c:h val="0.92818766367090011"/>
        </c:manualLayout>
      </c:layout>
      <c:barChart>
        <c:barDir val="bar"/>
        <c:grouping val="clustered"/>
        <c:varyColors val="0"/>
        <c:ser>
          <c:idx val="0"/>
          <c:order val="0"/>
          <c:tx>
            <c:strRef>
              <c:f>'Pivot Report'!$B$88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Report'!$B$89:$B$97</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4-E6AB-4D1A-AAB6-9CA24C4ECFBD}"/>
            </c:ext>
          </c:extLst>
        </c:ser>
        <c:dLbls>
          <c:showLegendKey val="0"/>
          <c:showVal val="0"/>
          <c:showCatName val="0"/>
          <c:showSerName val="0"/>
          <c:showPercent val="0"/>
          <c:showBubbleSize val="0"/>
        </c:dLbls>
        <c:gapWidth val="30"/>
        <c:axId val="414216128"/>
        <c:axId val="414199808"/>
      </c:barChart>
      <c:catAx>
        <c:axId val="414216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14199808"/>
        <c:crosses val="autoZero"/>
        <c:auto val="1"/>
        <c:lblAlgn val="ctr"/>
        <c:lblOffset val="100"/>
        <c:noMultiLvlLbl val="0"/>
      </c:catAx>
      <c:valAx>
        <c:axId val="414199808"/>
        <c:scaling>
          <c:orientation val="minMax"/>
        </c:scaling>
        <c:delete val="1"/>
        <c:axPos val="b"/>
        <c:numFmt formatCode="0" sourceLinked="1"/>
        <c:majorTickMark val="none"/>
        <c:minorTickMark val="none"/>
        <c:tickLblPos val="nextTo"/>
        <c:crossAx val="4142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72516961153261E-2"/>
          <c:y val="0.17835188679176106"/>
          <c:w val="0.78054252980335226"/>
          <c:h val="0.38688048913374257"/>
        </c:manualLayout>
      </c:layout>
      <c:areaChart>
        <c:grouping val="standard"/>
        <c:varyColors val="0"/>
        <c:ser>
          <c:idx val="0"/>
          <c:order val="0"/>
          <c:tx>
            <c:strRef>
              <c:f>'Pivot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Report'!$C$6:$C$36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Report'!$D$6:$D$36</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4-2621-4B11-9537-4C5B1CC4637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4614048"/>
        <c:axId val="244616448"/>
      </c:areaChart>
      <c:catAx>
        <c:axId val="2446140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4616448"/>
        <c:crosses val="autoZero"/>
        <c:auto val="1"/>
        <c:lblAlgn val="ctr"/>
        <c:lblOffset val="100"/>
        <c:noMultiLvlLbl val="0"/>
      </c:catAx>
      <c:valAx>
        <c:axId val="244616448"/>
        <c:scaling>
          <c:orientation val="minMax"/>
        </c:scaling>
        <c:delete val="1"/>
        <c:axPos val="l"/>
        <c:numFmt formatCode="General" sourceLinked="1"/>
        <c:majorTickMark val="out"/>
        <c:minorTickMark val="none"/>
        <c:tickLblPos val="nextTo"/>
        <c:crossAx val="2446140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22304675801893E-2"/>
          <c:y val="0.22684263925246223"/>
          <c:w val="0.89679188642038588"/>
          <c:h val="0.6104021042718849"/>
        </c:manualLayout>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Report'!$H$6:$H$36</c:f>
              <c:numCache>
                <c:formatCode>0.00</c:formatCode>
                <c:ptCount val="30"/>
                <c:pt idx="0">
                  <c:v>37.4</c:v>
                </c:pt>
                <c:pt idx="1">
                  <c:v>38.545454545454547</c:v>
                </c:pt>
                <c:pt idx="2">
                  <c:v>31.333333333333332</c:v>
                </c:pt>
                <c:pt idx="3">
                  <c:v>36.5</c:v>
                </c:pt>
                <c:pt idx="4">
                  <c:v>25.727272727272727</c:v>
                </c:pt>
                <c:pt idx="5">
                  <c:v>29.272727272727273</c:v>
                </c:pt>
                <c:pt idx="6">
                  <c:v>33.5</c:v>
                </c:pt>
                <c:pt idx="7">
                  <c:v>27.1875</c:v>
                </c:pt>
                <c:pt idx="8">
                  <c:v>30.333333333333332</c:v>
                </c:pt>
                <c:pt idx="9">
                  <c:v>32.5</c:v>
                </c:pt>
                <c:pt idx="10">
                  <c:v>33.565217391304351</c:v>
                </c:pt>
                <c:pt idx="11">
                  <c:v>37.473684210526315</c:v>
                </c:pt>
                <c:pt idx="12">
                  <c:v>33.857142857142854</c:v>
                </c:pt>
                <c:pt idx="13">
                  <c:v>32.25</c:v>
                </c:pt>
                <c:pt idx="14">
                  <c:v>43.666666666666664</c:v>
                </c:pt>
                <c:pt idx="15">
                  <c:v>30.166666666666668</c:v>
                </c:pt>
                <c:pt idx="16">
                  <c:v>33.823529411764703</c:v>
                </c:pt>
                <c:pt idx="17">
                  <c:v>32.5</c:v>
                </c:pt>
                <c:pt idx="18">
                  <c:v>39.25</c:v>
                </c:pt>
                <c:pt idx="19">
                  <c:v>33.549999999999997</c:v>
                </c:pt>
                <c:pt idx="20">
                  <c:v>31.117647058823529</c:v>
                </c:pt>
                <c:pt idx="21">
                  <c:v>36.94736842105263</c:v>
                </c:pt>
                <c:pt idx="22">
                  <c:v>43</c:v>
                </c:pt>
                <c:pt idx="23">
                  <c:v>33.055555555555557</c:v>
                </c:pt>
                <c:pt idx="24">
                  <c:v>32.888888888888886</c:v>
                </c:pt>
                <c:pt idx="25">
                  <c:v>26.6</c:v>
                </c:pt>
                <c:pt idx="26">
                  <c:v>28.2</c:v>
                </c:pt>
                <c:pt idx="27">
                  <c:v>37.642857142857146</c:v>
                </c:pt>
                <c:pt idx="28">
                  <c:v>40.333333333333336</c:v>
                </c:pt>
                <c:pt idx="29">
                  <c:v>35.93333333333333</c:v>
                </c:pt>
              </c:numCache>
            </c:numRef>
          </c:val>
          <c:extLst>
            <c:ext xmlns:c16="http://schemas.microsoft.com/office/drawing/2014/chart" uri="{C3380CC4-5D6E-409C-BE32-E72D297353CC}">
              <c16:uniqueId val="{00000003-45E0-4754-989C-A0FF56F33B4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58257296"/>
        <c:axId val="358269776"/>
      </c:areaChart>
      <c:catAx>
        <c:axId val="3582572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8269776"/>
        <c:crosses val="autoZero"/>
        <c:auto val="1"/>
        <c:lblAlgn val="ctr"/>
        <c:lblOffset val="100"/>
        <c:noMultiLvlLbl val="0"/>
      </c:catAx>
      <c:valAx>
        <c:axId val="358269776"/>
        <c:scaling>
          <c:orientation val="minMax"/>
        </c:scaling>
        <c:delete val="1"/>
        <c:axPos val="l"/>
        <c:numFmt formatCode="0.00" sourceLinked="1"/>
        <c:majorTickMark val="out"/>
        <c:minorTickMark val="none"/>
        <c:tickLblPos val="nextTo"/>
        <c:crossAx val="358257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hospital emergency room.xlsx]Pivot Report!PivotTable8</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09007576056332E-2"/>
          <c:y val="7.1942446043165464E-2"/>
          <c:w val="0.9355726297985707"/>
          <c:h val="0.77181640514360161"/>
        </c:manualLayout>
      </c:layout>
      <c:areaChart>
        <c:grouping val="standard"/>
        <c:varyColors val="0"/>
        <c:ser>
          <c:idx val="0"/>
          <c:order val="0"/>
          <c:tx>
            <c:strRef>
              <c:f>'Pivot Report'!$N$5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Report'!$M$6:$M$36</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Report'!$N$6:$N$36</c:f>
              <c:numCache>
                <c:formatCode>0.00</c:formatCode>
                <c:ptCount val="30"/>
                <c:pt idx="0">
                  <c:v>4.8571428571428568</c:v>
                </c:pt>
                <c:pt idx="1">
                  <c:v>8</c:v>
                </c:pt>
                <c:pt idx="2">
                  <c:v>6</c:v>
                </c:pt>
                <c:pt idx="3">
                  <c:v>6.8</c:v>
                </c:pt>
                <c:pt idx="4">
                  <c:v>3.5</c:v>
                </c:pt>
                <c:pt idx="5">
                  <c:v>0.5</c:v>
                </c:pt>
                <c:pt idx="6">
                  <c:v>4</c:v>
                </c:pt>
                <c:pt idx="7">
                  <c:v>4.75</c:v>
                </c:pt>
                <c:pt idx="8">
                  <c:v>5</c:v>
                </c:pt>
                <c:pt idx="9">
                  <c:v>10</c:v>
                </c:pt>
                <c:pt idx="10">
                  <c:v>5.5</c:v>
                </c:pt>
                <c:pt idx="11">
                  <c:v>4</c:v>
                </c:pt>
                <c:pt idx="12">
                  <c:v>2.6666666666666665</c:v>
                </c:pt>
                <c:pt idx="13">
                  <c:v>5.1111111111111107</c:v>
                </c:pt>
                <c:pt idx="14">
                  <c:v>6.25</c:v>
                </c:pt>
                <c:pt idx="15">
                  <c:v>6.333333333333333</c:v>
                </c:pt>
                <c:pt idx="16">
                  <c:v>7.666666666666667</c:v>
                </c:pt>
                <c:pt idx="17">
                  <c:v>5.8</c:v>
                </c:pt>
                <c:pt idx="18">
                  <c:v>6.666666666666667</c:v>
                </c:pt>
                <c:pt idx="19">
                  <c:v>5.4444444444444446</c:v>
                </c:pt>
                <c:pt idx="20">
                  <c:v>4.4000000000000004</c:v>
                </c:pt>
                <c:pt idx="21">
                  <c:v>4.8</c:v>
                </c:pt>
                <c:pt idx="22">
                  <c:v>4</c:v>
                </c:pt>
                <c:pt idx="23">
                  <c:v>8.25</c:v>
                </c:pt>
                <c:pt idx="24">
                  <c:v>4.5</c:v>
                </c:pt>
                <c:pt idx="25">
                  <c:v>3.5</c:v>
                </c:pt>
                <c:pt idx="26">
                  <c:v>7</c:v>
                </c:pt>
                <c:pt idx="27">
                  <c:v>4.5</c:v>
                </c:pt>
                <c:pt idx="28">
                  <c:v>4.666666666666667</c:v>
                </c:pt>
                <c:pt idx="29">
                  <c:v>5.8</c:v>
                </c:pt>
              </c:numCache>
            </c:numRef>
          </c:val>
          <c:extLst>
            <c:ext xmlns:c16="http://schemas.microsoft.com/office/drawing/2014/chart" uri="{C3380CC4-5D6E-409C-BE32-E72D297353CC}">
              <c16:uniqueId val="{00000003-63BB-4373-8B27-DE2B18CDAD7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8346560"/>
        <c:axId val="118354720"/>
      </c:areaChart>
      <c:catAx>
        <c:axId val="1183465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354720"/>
        <c:crosses val="autoZero"/>
        <c:auto val="1"/>
        <c:lblAlgn val="ctr"/>
        <c:lblOffset val="100"/>
        <c:noMultiLvlLbl val="0"/>
      </c:catAx>
      <c:valAx>
        <c:axId val="118354720"/>
        <c:scaling>
          <c:orientation val="minMax"/>
        </c:scaling>
        <c:delete val="1"/>
        <c:axPos val="l"/>
        <c:numFmt formatCode="0.00" sourceLinked="1"/>
        <c:majorTickMark val="out"/>
        <c:minorTickMark val="none"/>
        <c:tickLblPos val="nextTo"/>
        <c:crossAx val="1183465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statisfaction score daily trend'!A1"/><Relationship Id="rId18" Type="http://schemas.openxmlformats.org/officeDocument/2006/relationships/chart" Target="../charts/chart7.xml"/><Relationship Id="rId3" Type="http://schemas.openxmlformats.org/officeDocument/2006/relationships/hyperlink" Target="#'Average wait time daily trends'!A1"/><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hyperlink" Target="#Dashboard!A1"/><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hyperlink" Target="#'Daily ER No. of Patient'!A1"/><Relationship Id="rId19"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1132703</xdr:colOff>
      <xdr:row>50</xdr:row>
      <xdr:rowOff>5148</xdr:rowOff>
    </xdr:from>
    <xdr:to>
      <xdr:col>4</xdr:col>
      <xdr:colOff>10298</xdr:colOff>
      <xdr:row>52</xdr:row>
      <xdr:rowOff>25744</xdr:rowOff>
    </xdr:to>
    <xdr:graphicFrame macro="">
      <xdr:nvGraphicFramePr>
        <xdr:cNvPr id="7" name="Chart 6">
          <a:extLst>
            <a:ext uri="{FF2B5EF4-FFF2-40B4-BE49-F238E27FC236}">
              <a16:creationId xmlns:a16="http://schemas.microsoft.com/office/drawing/2014/main" id="{577D8932-1188-C4AC-C97D-0F3BE9CBE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455964</xdr:colOff>
      <xdr:row>95</xdr:row>
      <xdr:rowOff>16683</xdr:rowOff>
    </xdr:from>
    <xdr:to>
      <xdr:col>3</xdr:col>
      <xdr:colOff>499419</xdr:colOff>
      <xdr:row>101</xdr:row>
      <xdr:rowOff>87529</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89BF13BB-B632-F5DE-4662-A9207AEE087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834640" y="17625061"/>
              <a:ext cx="1207049" cy="1182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51368</xdr:colOff>
      <xdr:row>0</xdr:row>
      <xdr:rowOff>47089</xdr:rowOff>
    </xdr:from>
    <xdr:to>
      <xdr:col>5</xdr:col>
      <xdr:colOff>333910</xdr:colOff>
      <xdr:row>3</xdr:row>
      <xdr:rowOff>4281</xdr:rowOff>
    </xdr:to>
    <xdr:sp macro="" textlink="">
      <xdr:nvSpPr>
        <xdr:cNvPr id="2" name="Rectangle: Rounded Corners 1">
          <a:extLst>
            <a:ext uri="{FF2B5EF4-FFF2-40B4-BE49-F238E27FC236}">
              <a16:creationId xmlns:a16="http://schemas.microsoft.com/office/drawing/2014/main" id="{AF54E4A7-4677-C5EB-00C6-C6F5207A5B38}"/>
            </a:ext>
          </a:extLst>
        </xdr:cNvPr>
        <xdr:cNvSpPr/>
      </xdr:nvSpPr>
      <xdr:spPr>
        <a:xfrm>
          <a:off x="51368" y="47089"/>
          <a:ext cx="3321980" cy="509428"/>
        </a:xfrm>
        <a:prstGeom prst="roundRect">
          <a:avLst>
            <a:gd name="adj" fmla="val 252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368157</xdr:colOff>
      <xdr:row>0</xdr:row>
      <xdr:rowOff>42809</xdr:rowOff>
    </xdr:from>
    <xdr:to>
      <xdr:col>7</xdr:col>
      <xdr:colOff>66841</xdr:colOff>
      <xdr:row>2</xdr:row>
      <xdr:rowOff>169333</xdr:rowOff>
    </xdr:to>
    <xdr:sp macro="" textlink="">
      <xdr:nvSpPr>
        <xdr:cNvPr id="5" name="Rectangle: Rounded Corners 4">
          <a:extLst>
            <a:ext uri="{FF2B5EF4-FFF2-40B4-BE49-F238E27FC236}">
              <a16:creationId xmlns:a16="http://schemas.microsoft.com/office/drawing/2014/main" id="{756C7381-1623-ED78-F563-99FF3832416C}"/>
            </a:ext>
          </a:extLst>
        </xdr:cNvPr>
        <xdr:cNvSpPr/>
      </xdr:nvSpPr>
      <xdr:spPr>
        <a:xfrm>
          <a:off x="3420613" y="42809"/>
          <a:ext cx="919667" cy="491928"/>
        </a:xfrm>
        <a:prstGeom prst="roundRect">
          <a:avLst>
            <a:gd name="adj" fmla="val 380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102741</xdr:colOff>
      <xdr:row>0</xdr:row>
      <xdr:rowOff>47089</xdr:rowOff>
    </xdr:from>
    <xdr:to>
      <xdr:col>9</xdr:col>
      <xdr:colOff>235448</xdr:colOff>
      <xdr:row>6</xdr:row>
      <xdr:rowOff>175517</xdr:rowOff>
    </xdr:to>
    <xdr:sp macro="" textlink="">
      <xdr:nvSpPr>
        <xdr:cNvPr id="6" name="Rectangle: Rounded Corners 5">
          <a:extLst>
            <a:ext uri="{FF2B5EF4-FFF2-40B4-BE49-F238E27FC236}">
              <a16:creationId xmlns:a16="http://schemas.microsoft.com/office/drawing/2014/main" id="{144182CC-D5B7-C676-3641-1D1C107C54FB}"/>
            </a:ext>
          </a:extLst>
        </xdr:cNvPr>
        <xdr:cNvSpPr/>
      </xdr:nvSpPr>
      <xdr:spPr>
        <a:xfrm>
          <a:off x="4357954" y="47089"/>
          <a:ext cx="1348483" cy="1232900"/>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273977</xdr:colOff>
      <xdr:row>0</xdr:row>
      <xdr:rowOff>47089</xdr:rowOff>
    </xdr:from>
    <xdr:to>
      <xdr:col>11</xdr:col>
      <xdr:colOff>423808</xdr:colOff>
      <xdr:row>7</xdr:row>
      <xdr:rowOff>0</xdr:rowOff>
    </xdr:to>
    <xdr:sp macro="" textlink="">
      <xdr:nvSpPr>
        <xdr:cNvPr id="7" name="Rectangle: Rounded Corners 6">
          <a:extLst>
            <a:ext uri="{FF2B5EF4-FFF2-40B4-BE49-F238E27FC236}">
              <a16:creationId xmlns:a16="http://schemas.microsoft.com/office/drawing/2014/main" id="{4D186094-83F2-7C30-CD65-924F66B2926B}"/>
            </a:ext>
          </a:extLst>
        </xdr:cNvPr>
        <xdr:cNvSpPr/>
      </xdr:nvSpPr>
      <xdr:spPr>
        <a:xfrm>
          <a:off x="5744966" y="47089"/>
          <a:ext cx="1365606" cy="1241462"/>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42808</xdr:colOff>
      <xdr:row>3</xdr:row>
      <xdr:rowOff>47090</xdr:rowOff>
    </xdr:from>
    <xdr:to>
      <xdr:col>1</xdr:col>
      <xdr:colOff>94180</xdr:colOff>
      <xdr:row>15</xdr:row>
      <xdr:rowOff>98460</xdr:rowOff>
    </xdr:to>
    <xdr:sp macro="" textlink="">
      <xdr:nvSpPr>
        <xdr:cNvPr id="8" name="Rectangle: Rounded Corners 7">
          <a:extLst>
            <a:ext uri="{FF2B5EF4-FFF2-40B4-BE49-F238E27FC236}">
              <a16:creationId xmlns:a16="http://schemas.microsoft.com/office/drawing/2014/main" id="{66C5990F-AF4F-69AE-C004-C564C64AF634}"/>
            </a:ext>
          </a:extLst>
        </xdr:cNvPr>
        <xdr:cNvSpPr/>
      </xdr:nvSpPr>
      <xdr:spPr>
        <a:xfrm>
          <a:off x="42808" y="599326"/>
          <a:ext cx="659260" cy="2260314"/>
        </a:xfrm>
        <a:prstGeom prst="roundRect">
          <a:avLst>
            <a:gd name="adj" fmla="val 756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149830</xdr:colOff>
      <xdr:row>3</xdr:row>
      <xdr:rowOff>51369</xdr:rowOff>
    </xdr:from>
    <xdr:to>
      <xdr:col>3</xdr:col>
      <xdr:colOff>83688</xdr:colOff>
      <xdr:row>7</xdr:row>
      <xdr:rowOff>140259</xdr:rowOff>
    </xdr:to>
    <xdr:sp macro="" textlink="">
      <xdr:nvSpPr>
        <xdr:cNvPr id="9" name="Rectangle: Rounded Corners 8">
          <a:extLst>
            <a:ext uri="{FF2B5EF4-FFF2-40B4-BE49-F238E27FC236}">
              <a16:creationId xmlns:a16="http://schemas.microsoft.com/office/drawing/2014/main" id="{9339EA01-186D-A64B-78C1-A0C2F16F75A1}"/>
            </a:ext>
          </a:extLst>
        </xdr:cNvPr>
        <xdr:cNvSpPr/>
      </xdr:nvSpPr>
      <xdr:spPr>
        <a:xfrm>
          <a:off x="757718" y="603605"/>
          <a:ext cx="1149633" cy="825205"/>
        </a:xfrm>
        <a:prstGeom prst="roundRect">
          <a:avLst>
            <a:gd name="adj" fmla="val 170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133672</xdr:colOff>
      <xdr:row>3</xdr:row>
      <xdr:rowOff>56659</xdr:rowOff>
    </xdr:from>
    <xdr:to>
      <xdr:col>5</xdr:col>
      <xdr:colOff>67530</xdr:colOff>
      <xdr:row>7</xdr:row>
      <xdr:rowOff>145549</xdr:rowOff>
    </xdr:to>
    <xdr:sp macro="" textlink="">
      <xdr:nvSpPr>
        <xdr:cNvPr id="18" name="Rectangle: Rounded Corners 17">
          <a:extLst>
            <a:ext uri="{FF2B5EF4-FFF2-40B4-BE49-F238E27FC236}">
              <a16:creationId xmlns:a16="http://schemas.microsoft.com/office/drawing/2014/main" id="{6511818F-A4B6-847A-4DB7-7201F7DA8B89}"/>
            </a:ext>
          </a:extLst>
        </xdr:cNvPr>
        <xdr:cNvSpPr/>
      </xdr:nvSpPr>
      <xdr:spPr>
        <a:xfrm>
          <a:off x="1957335" y="608895"/>
          <a:ext cx="1149633" cy="825205"/>
        </a:xfrm>
        <a:prstGeom prst="roundRect">
          <a:avLst>
            <a:gd name="adj" fmla="val 66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117513</xdr:colOff>
      <xdr:row>3</xdr:row>
      <xdr:rowOff>56659</xdr:rowOff>
    </xdr:from>
    <xdr:to>
      <xdr:col>7</xdr:col>
      <xdr:colOff>51371</xdr:colOff>
      <xdr:row>7</xdr:row>
      <xdr:rowOff>145549</xdr:rowOff>
    </xdr:to>
    <xdr:sp macro="" textlink="">
      <xdr:nvSpPr>
        <xdr:cNvPr id="19" name="Rectangle: Rounded Corners 18">
          <a:extLst>
            <a:ext uri="{FF2B5EF4-FFF2-40B4-BE49-F238E27FC236}">
              <a16:creationId xmlns:a16="http://schemas.microsoft.com/office/drawing/2014/main" id="{753D9BF5-B26B-69A7-C551-74971F84D8FE}"/>
            </a:ext>
          </a:extLst>
        </xdr:cNvPr>
        <xdr:cNvSpPr/>
      </xdr:nvSpPr>
      <xdr:spPr>
        <a:xfrm>
          <a:off x="3156951" y="608895"/>
          <a:ext cx="1149633" cy="825205"/>
        </a:xfrm>
        <a:prstGeom prst="roundRect">
          <a:avLst>
            <a:gd name="adj" fmla="val 170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136989</xdr:colOff>
      <xdr:row>10</xdr:row>
      <xdr:rowOff>55650</xdr:rowOff>
    </xdr:from>
    <xdr:to>
      <xdr:col>7</xdr:col>
      <xdr:colOff>51372</xdr:colOff>
      <xdr:row>15</xdr:row>
      <xdr:rowOff>94180</xdr:rowOff>
    </xdr:to>
    <xdr:sp macro="" textlink="">
      <xdr:nvSpPr>
        <xdr:cNvPr id="22" name="Rectangle: Rounded Corners 21">
          <a:extLst>
            <a:ext uri="{FF2B5EF4-FFF2-40B4-BE49-F238E27FC236}">
              <a16:creationId xmlns:a16="http://schemas.microsoft.com/office/drawing/2014/main" id="{E479B51A-8E42-1290-2BFB-15664617B9F5}"/>
            </a:ext>
          </a:extLst>
        </xdr:cNvPr>
        <xdr:cNvSpPr/>
      </xdr:nvSpPr>
      <xdr:spPr>
        <a:xfrm>
          <a:off x="744877" y="1896437"/>
          <a:ext cx="3561708" cy="958923"/>
        </a:xfrm>
        <a:prstGeom prst="roundRect">
          <a:avLst>
            <a:gd name="adj" fmla="val 224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111305</xdr:colOff>
      <xdr:row>7</xdr:row>
      <xdr:rowOff>47090</xdr:rowOff>
    </xdr:from>
    <xdr:to>
      <xdr:col>11</xdr:col>
      <xdr:colOff>428090</xdr:colOff>
      <xdr:row>15</xdr:row>
      <xdr:rowOff>94180</xdr:rowOff>
    </xdr:to>
    <xdr:sp macro="" textlink="">
      <xdr:nvSpPr>
        <xdr:cNvPr id="32" name="Rectangle: Rounded Corners 31">
          <a:extLst>
            <a:ext uri="{FF2B5EF4-FFF2-40B4-BE49-F238E27FC236}">
              <a16:creationId xmlns:a16="http://schemas.microsoft.com/office/drawing/2014/main" id="{FD5874DE-800B-5E3C-D2B5-2609B13ED842}"/>
            </a:ext>
          </a:extLst>
        </xdr:cNvPr>
        <xdr:cNvSpPr/>
      </xdr:nvSpPr>
      <xdr:spPr>
        <a:xfrm>
          <a:off x="4366518" y="1335641"/>
          <a:ext cx="2748336" cy="1519719"/>
        </a:xfrm>
        <a:prstGeom prst="roundRect">
          <a:avLst>
            <a:gd name="adj" fmla="val 54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124146</xdr:colOff>
      <xdr:row>0</xdr:row>
      <xdr:rowOff>107021</xdr:rowOff>
    </xdr:from>
    <xdr:to>
      <xdr:col>5</xdr:col>
      <xdr:colOff>115585</xdr:colOff>
      <xdr:row>1</xdr:row>
      <xdr:rowOff>136988</xdr:rowOff>
    </xdr:to>
    <xdr:sp macro="" textlink="">
      <xdr:nvSpPr>
        <xdr:cNvPr id="33" name="TextBox 32">
          <a:extLst>
            <a:ext uri="{FF2B5EF4-FFF2-40B4-BE49-F238E27FC236}">
              <a16:creationId xmlns:a16="http://schemas.microsoft.com/office/drawing/2014/main" id="{83F2AD34-C4BC-53D5-F5D4-308A5BF2253E}"/>
            </a:ext>
          </a:extLst>
        </xdr:cNvPr>
        <xdr:cNvSpPr txBox="1"/>
      </xdr:nvSpPr>
      <xdr:spPr>
        <a:xfrm>
          <a:off x="732034" y="107021"/>
          <a:ext cx="2422989" cy="21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 Room Dashboard</a:t>
          </a:r>
        </a:p>
      </xdr:txBody>
    </xdr:sp>
    <xdr:clientData/>
  </xdr:twoCellAnchor>
  <xdr:twoCellAnchor editAs="oneCell">
    <xdr:from>
      <xdr:col>0</xdr:col>
      <xdr:colOff>124146</xdr:colOff>
      <xdr:row>0</xdr:row>
      <xdr:rowOff>47089</xdr:rowOff>
    </xdr:from>
    <xdr:to>
      <xdr:col>1</xdr:col>
      <xdr:colOff>28696</xdr:colOff>
      <xdr:row>2</xdr:row>
      <xdr:rowOff>162674</xdr:rowOff>
    </xdr:to>
    <xdr:pic>
      <xdr:nvPicPr>
        <xdr:cNvPr id="37" name="Picture 36">
          <a:extLst>
            <a:ext uri="{FF2B5EF4-FFF2-40B4-BE49-F238E27FC236}">
              <a16:creationId xmlns:a16="http://schemas.microsoft.com/office/drawing/2014/main" id="{361E858C-678C-D286-DC28-4516154644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146" y="47089"/>
          <a:ext cx="512438" cy="483742"/>
        </a:xfrm>
        <a:prstGeom prst="rect">
          <a:avLst/>
        </a:prstGeom>
      </xdr:spPr>
    </xdr:pic>
    <xdr:clientData/>
  </xdr:twoCellAnchor>
  <xdr:twoCellAnchor editAs="absolute">
    <xdr:from>
      <xdr:col>1</xdr:col>
      <xdr:colOff>154112</xdr:colOff>
      <xdr:row>4</xdr:row>
      <xdr:rowOff>179800</xdr:rowOff>
    </xdr:from>
    <xdr:to>
      <xdr:col>3</xdr:col>
      <xdr:colOff>72775</xdr:colOff>
      <xdr:row>5</xdr:row>
      <xdr:rowOff>145550</xdr:rowOff>
    </xdr:to>
    <xdr:sp macro="" textlink="">
      <xdr:nvSpPr>
        <xdr:cNvPr id="38" name="TextBox 37">
          <a:hlinkClick xmlns:r="http://schemas.openxmlformats.org/officeDocument/2006/relationships" r:id="rId2"/>
          <a:extLst>
            <a:ext uri="{FF2B5EF4-FFF2-40B4-BE49-F238E27FC236}">
              <a16:creationId xmlns:a16="http://schemas.microsoft.com/office/drawing/2014/main" id="{A66A9107-653A-95CA-EFCE-ECCFAB113FB0}"/>
            </a:ext>
          </a:extLst>
        </xdr:cNvPr>
        <xdr:cNvSpPr txBox="1"/>
      </xdr:nvSpPr>
      <xdr:spPr>
        <a:xfrm>
          <a:off x="762000" y="916115"/>
          <a:ext cx="1134438" cy="14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145550</xdr:colOff>
      <xdr:row>4</xdr:row>
      <xdr:rowOff>25685</xdr:rowOff>
    </xdr:from>
    <xdr:to>
      <xdr:col>3</xdr:col>
      <xdr:colOff>85618</xdr:colOff>
      <xdr:row>5</xdr:row>
      <xdr:rowOff>4281</xdr:rowOff>
    </xdr:to>
    <xdr:sp macro="" textlink="'Pivot Report'!A5">
      <xdr:nvSpPr>
        <xdr:cNvPr id="41" name="TextBox 40">
          <a:extLst>
            <a:ext uri="{FF2B5EF4-FFF2-40B4-BE49-F238E27FC236}">
              <a16:creationId xmlns:a16="http://schemas.microsoft.com/office/drawing/2014/main" id="{C285A4D2-27DD-12AF-CD96-09E3277443EE}"/>
            </a:ext>
          </a:extLst>
        </xdr:cNvPr>
        <xdr:cNvSpPr txBox="1"/>
      </xdr:nvSpPr>
      <xdr:spPr>
        <a:xfrm>
          <a:off x="753438" y="762000"/>
          <a:ext cx="1155843" cy="16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76DAA20-A6A8-4CFA-8642-E1B326846C41}" type="TxLink">
            <a:rPr lang="en-US" sz="1100" b="0" i="0" u="none" strike="noStrike">
              <a:solidFill>
                <a:srgbClr val="000000"/>
              </a:solidFill>
              <a:latin typeface="Calibri"/>
              <a:ea typeface="Calibri"/>
              <a:cs typeface="Calibri"/>
            </a:rPr>
            <a:pPr algn="ctr"/>
            <a:t>471</a:t>
          </a:fld>
          <a:endParaRPr lang="en-IN" sz="900"/>
        </a:p>
      </xdr:txBody>
    </xdr:sp>
    <xdr:clientData/>
  </xdr:twoCellAnchor>
  <xdr:twoCellAnchor editAs="absolute">
    <xdr:from>
      <xdr:col>3</xdr:col>
      <xdr:colOff>136990</xdr:colOff>
      <xdr:row>4</xdr:row>
      <xdr:rowOff>175519</xdr:rowOff>
    </xdr:from>
    <xdr:to>
      <xdr:col>5</xdr:col>
      <xdr:colOff>59934</xdr:colOff>
      <xdr:row>5</xdr:row>
      <xdr:rowOff>141269</xdr:rowOff>
    </xdr:to>
    <xdr:sp macro="" textlink="">
      <xdr:nvSpPr>
        <xdr:cNvPr id="42" name="TextBox 41">
          <a:extLst>
            <a:ext uri="{FF2B5EF4-FFF2-40B4-BE49-F238E27FC236}">
              <a16:creationId xmlns:a16="http://schemas.microsoft.com/office/drawing/2014/main" id="{965F420F-2A6C-252E-0653-1F7AE6C41CB3}"/>
            </a:ext>
          </a:extLst>
        </xdr:cNvPr>
        <xdr:cNvSpPr txBox="1"/>
      </xdr:nvSpPr>
      <xdr:spPr>
        <a:xfrm>
          <a:off x="1960653" y="911834"/>
          <a:ext cx="1138719" cy="14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3</xdr:col>
      <xdr:colOff>136989</xdr:colOff>
      <xdr:row>4</xdr:row>
      <xdr:rowOff>25685</xdr:rowOff>
    </xdr:from>
    <xdr:to>
      <xdr:col>5</xdr:col>
      <xdr:colOff>68495</xdr:colOff>
      <xdr:row>5</xdr:row>
      <xdr:rowOff>4281</xdr:rowOff>
    </xdr:to>
    <xdr:sp macro="" textlink="'Pivot Report'!A9">
      <xdr:nvSpPr>
        <xdr:cNvPr id="43" name="TextBox 42">
          <a:hlinkClick xmlns:r="http://schemas.openxmlformats.org/officeDocument/2006/relationships" r:id="rId3"/>
          <a:extLst>
            <a:ext uri="{FF2B5EF4-FFF2-40B4-BE49-F238E27FC236}">
              <a16:creationId xmlns:a16="http://schemas.microsoft.com/office/drawing/2014/main" id="{6C19C197-D5C4-02B4-2A32-8B8C8FB16BD7}"/>
            </a:ext>
          </a:extLst>
        </xdr:cNvPr>
        <xdr:cNvSpPr txBox="1"/>
      </xdr:nvSpPr>
      <xdr:spPr>
        <a:xfrm>
          <a:off x="1960652" y="762000"/>
          <a:ext cx="1147281" cy="16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4F5AC47-CA67-45C7-8A7C-83A636BF7BE2}" type="TxLink">
            <a:rPr lang="en-US" sz="1100" b="0" i="0" u="none" strike="noStrike">
              <a:solidFill>
                <a:srgbClr val="000000"/>
              </a:solidFill>
              <a:latin typeface="Calibri"/>
              <a:ea typeface="Calibri"/>
              <a:cs typeface="Calibri"/>
            </a:rPr>
            <a:pPr algn="ctr"/>
            <a:t>34.05</a:t>
          </a:fld>
          <a:endParaRPr lang="en-IN" sz="900"/>
        </a:p>
      </xdr:txBody>
    </xdr:sp>
    <xdr:clientData/>
  </xdr:twoCellAnchor>
  <xdr:twoCellAnchor editAs="absolute">
    <xdr:from>
      <xdr:col>5</xdr:col>
      <xdr:colOff>128428</xdr:colOff>
      <xdr:row>4</xdr:row>
      <xdr:rowOff>175519</xdr:rowOff>
    </xdr:from>
    <xdr:to>
      <xdr:col>7</xdr:col>
      <xdr:colOff>51372</xdr:colOff>
      <xdr:row>5</xdr:row>
      <xdr:rowOff>141269</xdr:rowOff>
    </xdr:to>
    <xdr:sp macro="" textlink="">
      <xdr:nvSpPr>
        <xdr:cNvPr id="44" name="TextBox 43">
          <a:extLst>
            <a:ext uri="{FF2B5EF4-FFF2-40B4-BE49-F238E27FC236}">
              <a16:creationId xmlns:a16="http://schemas.microsoft.com/office/drawing/2014/main" id="{F6C7B162-0410-EAA8-52A3-2DEF2CDAAEE3}"/>
            </a:ext>
          </a:extLst>
        </xdr:cNvPr>
        <xdr:cNvSpPr txBox="1"/>
      </xdr:nvSpPr>
      <xdr:spPr>
        <a:xfrm>
          <a:off x="3167866" y="911834"/>
          <a:ext cx="1138719" cy="14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900" baseline="0"/>
            <a:t> </a:t>
          </a:r>
          <a:r>
            <a:rPr lang="en-IN" sz="800"/>
            <a:t>Satisfaction</a:t>
          </a:r>
          <a:r>
            <a:rPr lang="en-IN" sz="800" baseline="0"/>
            <a:t> Score</a:t>
          </a:r>
          <a:endParaRPr lang="en-IN" sz="800"/>
        </a:p>
      </xdr:txBody>
    </xdr:sp>
    <xdr:clientData/>
  </xdr:twoCellAnchor>
  <xdr:twoCellAnchor editAs="absolute">
    <xdr:from>
      <xdr:col>5</xdr:col>
      <xdr:colOff>128427</xdr:colOff>
      <xdr:row>4</xdr:row>
      <xdr:rowOff>25685</xdr:rowOff>
    </xdr:from>
    <xdr:to>
      <xdr:col>7</xdr:col>
      <xdr:colOff>59933</xdr:colOff>
      <xdr:row>5</xdr:row>
      <xdr:rowOff>4281</xdr:rowOff>
    </xdr:to>
    <xdr:sp macro="" textlink="'Pivot Report'!A12">
      <xdr:nvSpPr>
        <xdr:cNvPr id="45" name="TextBox 44">
          <a:extLst>
            <a:ext uri="{FF2B5EF4-FFF2-40B4-BE49-F238E27FC236}">
              <a16:creationId xmlns:a16="http://schemas.microsoft.com/office/drawing/2014/main" id="{55C8BB34-7160-1EFC-269D-46F67F277A9C}"/>
            </a:ext>
          </a:extLst>
        </xdr:cNvPr>
        <xdr:cNvSpPr txBox="1"/>
      </xdr:nvSpPr>
      <xdr:spPr>
        <a:xfrm>
          <a:off x="3167865" y="762000"/>
          <a:ext cx="1147281" cy="16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2654218-62C9-47D4-B90A-152B3AF8D764}" type="TxLink">
            <a:rPr lang="en-US" sz="1100" b="0" i="0" u="none" strike="noStrike">
              <a:solidFill>
                <a:srgbClr val="000000"/>
              </a:solidFill>
              <a:latin typeface="Calibri"/>
              <a:ea typeface="Calibri"/>
              <a:cs typeface="Calibri"/>
            </a:rPr>
            <a:pPr algn="ctr"/>
            <a:t>5.31</a:t>
          </a:fld>
          <a:endParaRPr lang="en-IN" sz="900"/>
        </a:p>
      </xdr:txBody>
    </xdr:sp>
    <xdr:clientData/>
  </xdr:twoCellAnchor>
  <xdr:twoCellAnchor editAs="oneCell">
    <xdr:from>
      <xdr:col>2</xdr:col>
      <xdr:colOff>410965</xdr:colOff>
      <xdr:row>3</xdr:row>
      <xdr:rowOff>81336</xdr:rowOff>
    </xdr:from>
    <xdr:to>
      <xdr:col>3</xdr:col>
      <xdr:colOff>59932</xdr:colOff>
      <xdr:row>4</xdr:row>
      <xdr:rowOff>154112</xdr:rowOff>
    </xdr:to>
    <xdr:pic>
      <xdr:nvPicPr>
        <xdr:cNvPr id="47" name="Graphic 46" descr="Male profile with solid fill">
          <a:extLst>
            <a:ext uri="{FF2B5EF4-FFF2-40B4-BE49-F238E27FC236}">
              <a16:creationId xmlns:a16="http://schemas.microsoft.com/office/drawing/2014/main" id="{9C1DFA94-27E9-4477-CCA7-368794B467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26740" y="633572"/>
          <a:ext cx="256855" cy="256855"/>
        </a:xfrm>
        <a:prstGeom prst="rect">
          <a:avLst/>
        </a:prstGeom>
      </xdr:spPr>
    </xdr:pic>
    <xdr:clientData/>
  </xdr:twoCellAnchor>
  <xdr:twoCellAnchor editAs="oneCell">
    <xdr:from>
      <xdr:col>4</xdr:col>
      <xdr:colOff>376718</xdr:colOff>
      <xdr:row>3</xdr:row>
      <xdr:rowOff>96746</xdr:rowOff>
    </xdr:from>
    <xdr:to>
      <xdr:col>4</xdr:col>
      <xdr:colOff>605319</xdr:colOff>
      <xdr:row>4</xdr:row>
      <xdr:rowOff>141268</xdr:rowOff>
    </xdr:to>
    <xdr:pic>
      <xdr:nvPicPr>
        <xdr:cNvPr id="49" name="Graphic 48" descr="Hourglass Finished with solid fill">
          <a:extLst>
            <a:ext uri="{FF2B5EF4-FFF2-40B4-BE49-F238E27FC236}">
              <a16:creationId xmlns:a16="http://schemas.microsoft.com/office/drawing/2014/main" id="{6C806A62-5D2A-18D4-2C9D-AD0911566B1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a:off x="2808269" y="648982"/>
          <a:ext cx="228601" cy="228601"/>
        </a:xfrm>
        <a:prstGeom prst="rect">
          <a:avLst/>
        </a:prstGeom>
      </xdr:spPr>
    </xdr:pic>
    <xdr:clientData/>
  </xdr:twoCellAnchor>
  <xdr:twoCellAnchor editAs="oneCell">
    <xdr:from>
      <xdr:col>6</xdr:col>
      <xdr:colOff>391273</xdr:colOff>
      <xdr:row>3</xdr:row>
      <xdr:rowOff>94180</xdr:rowOff>
    </xdr:from>
    <xdr:to>
      <xdr:col>6</xdr:col>
      <xdr:colOff>605318</xdr:colOff>
      <xdr:row>4</xdr:row>
      <xdr:rowOff>124146</xdr:rowOff>
    </xdr:to>
    <xdr:pic>
      <xdr:nvPicPr>
        <xdr:cNvPr id="51" name="Graphic 50" descr="Customer review with solid fill">
          <a:extLst>
            <a:ext uri="{FF2B5EF4-FFF2-40B4-BE49-F238E27FC236}">
              <a16:creationId xmlns:a16="http://schemas.microsoft.com/office/drawing/2014/main" id="{057A539B-02B8-0A45-00D2-C25D68539BC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38599" y="646416"/>
          <a:ext cx="214045" cy="214045"/>
        </a:xfrm>
        <a:prstGeom prst="rect">
          <a:avLst/>
        </a:prstGeom>
      </xdr:spPr>
    </xdr:pic>
    <xdr:clientData/>
  </xdr:twoCellAnchor>
  <xdr:twoCellAnchor editAs="oneCell">
    <xdr:from>
      <xdr:col>0</xdr:col>
      <xdr:colOff>42809</xdr:colOff>
      <xdr:row>3</xdr:row>
      <xdr:rowOff>55652</xdr:rowOff>
    </xdr:from>
    <xdr:to>
      <xdr:col>1</xdr:col>
      <xdr:colOff>85618</xdr:colOff>
      <xdr:row>15</xdr:row>
      <xdr:rowOff>94179</xdr:rowOff>
    </xdr:to>
    <mc:AlternateContent xmlns:mc="http://schemas.openxmlformats.org/markup-compatibility/2006" xmlns:a14="http://schemas.microsoft.com/office/drawing/2010/main">
      <mc:Choice Requires="a14">
        <xdr:graphicFrame macro="">
          <xdr:nvGraphicFramePr>
            <xdr:cNvPr id="53" name="Date (Month) 1">
              <a:extLst>
                <a:ext uri="{FF2B5EF4-FFF2-40B4-BE49-F238E27FC236}">
                  <a16:creationId xmlns:a16="http://schemas.microsoft.com/office/drawing/2014/main" id="{AE826155-2335-4DA7-8EE9-05BAC35F231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2809" y="603340"/>
              <a:ext cx="653997" cy="2229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381001</xdr:colOff>
      <xdr:row>3</xdr:row>
      <xdr:rowOff>51371</xdr:rowOff>
    </xdr:from>
    <xdr:to>
      <xdr:col>3</xdr:col>
      <xdr:colOff>265415</xdr:colOff>
      <xdr:row>10</xdr:row>
      <xdr:rowOff>115584</xdr:rowOff>
    </xdr:to>
    <xdr:graphicFrame macro="">
      <xdr:nvGraphicFramePr>
        <xdr:cNvPr id="55" name="Chart 54">
          <a:hlinkClick xmlns:r="http://schemas.openxmlformats.org/officeDocument/2006/relationships" r:id="rId10"/>
          <a:extLst>
            <a:ext uri="{FF2B5EF4-FFF2-40B4-BE49-F238E27FC236}">
              <a16:creationId xmlns:a16="http://schemas.microsoft.com/office/drawing/2014/main" id="{77E98EEE-5A8E-E159-CE49-218B4715E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xdr:col>
      <xdr:colOff>64214</xdr:colOff>
      <xdr:row>1</xdr:row>
      <xdr:rowOff>124149</xdr:rowOff>
    </xdr:from>
    <xdr:to>
      <xdr:col>4</xdr:col>
      <xdr:colOff>102741</xdr:colOff>
      <xdr:row>2</xdr:row>
      <xdr:rowOff>89899</xdr:rowOff>
    </xdr:to>
    <xdr:sp macro="" textlink="">
      <xdr:nvSpPr>
        <xdr:cNvPr id="56" name="TextBox 55">
          <a:extLst>
            <a:ext uri="{FF2B5EF4-FFF2-40B4-BE49-F238E27FC236}">
              <a16:creationId xmlns:a16="http://schemas.microsoft.com/office/drawing/2014/main" id="{FD7CA814-4BFE-B700-04DE-B02D25D1B361}"/>
            </a:ext>
          </a:extLst>
        </xdr:cNvPr>
        <xdr:cNvSpPr txBox="1"/>
      </xdr:nvSpPr>
      <xdr:spPr>
        <a:xfrm>
          <a:off x="1279989" y="308228"/>
          <a:ext cx="1254303" cy="149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Monthly</a:t>
          </a:r>
          <a:r>
            <a:rPr lang="en-IN" sz="800" baseline="0"/>
            <a:t> Report</a:t>
          </a:r>
          <a:endParaRPr lang="en-IN" sz="800"/>
        </a:p>
      </xdr:txBody>
    </xdr:sp>
    <xdr:clientData/>
  </xdr:twoCellAnchor>
  <xdr:twoCellAnchor>
    <xdr:from>
      <xdr:col>3</xdr:col>
      <xdr:colOff>141269</xdr:colOff>
      <xdr:row>5</xdr:row>
      <xdr:rowOff>51370</xdr:rowOff>
    </xdr:from>
    <xdr:to>
      <xdr:col>5</xdr:col>
      <xdr:colOff>72775</xdr:colOff>
      <xdr:row>7</xdr:row>
      <xdr:rowOff>145549</xdr:rowOff>
    </xdr:to>
    <xdr:graphicFrame macro="">
      <xdr:nvGraphicFramePr>
        <xdr:cNvPr id="57" name="Chart 56">
          <a:hlinkClick xmlns:r="http://schemas.openxmlformats.org/officeDocument/2006/relationships" r:id="rId3"/>
          <a:extLst>
            <a:ext uri="{FF2B5EF4-FFF2-40B4-BE49-F238E27FC236}">
              <a16:creationId xmlns:a16="http://schemas.microsoft.com/office/drawing/2014/main" id="{CAD86DE3-AB96-4182-BBA1-54E03AF22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81337</xdr:colOff>
      <xdr:row>4</xdr:row>
      <xdr:rowOff>77056</xdr:rowOff>
    </xdr:from>
    <xdr:to>
      <xdr:col>7</xdr:col>
      <xdr:colOff>51371</xdr:colOff>
      <xdr:row>7</xdr:row>
      <xdr:rowOff>149831</xdr:rowOff>
    </xdr:to>
    <xdr:graphicFrame macro="">
      <xdr:nvGraphicFramePr>
        <xdr:cNvPr id="58" name="Chart 57">
          <a:hlinkClick xmlns:r="http://schemas.openxmlformats.org/officeDocument/2006/relationships" r:id="rId13"/>
          <a:extLst>
            <a:ext uri="{FF2B5EF4-FFF2-40B4-BE49-F238E27FC236}">
              <a16:creationId xmlns:a16="http://schemas.microsoft.com/office/drawing/2014/main" id="{D392C123-D830-4177-B79B-9E43F6507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149831</xdr:colOff>
          <xdr:row>8</xdr:row>
          <xdr:rowOff>4282</xdr:rowOff>
        </xdr:from>
        <xdr:to>
          <xdr:col>7</xdr:col>
          <xdr:colOff>51371</xdr:colOff>
          <xdr:row>10</xdr:row>
          <xdr:rowOff>10527</xdr:rowOff>
        </xdr:to>
        <xdr:pic>
          <xdr:nvPicPr>
            <xdr:cNvPr id="64" name="Picture 63">
              <a:extLst>
                <a:ext uri="{FF2B5EF4-FFF2-40B4-BE49-F238E27FC236}">
                  <a16:creationId xmlns:a16="http://schemas.microsoft.com/office/drawing/2014/main" id="{99DFA52F-8D27-AB9D-7C86-A1032385DA54}"/>
                </a:ext>
              </a:extLst>
            </xdr:cNvPr>
            <xdr:cNvPicPr>
              <a:picLocks noChangeAspect="1" noChangeArrowheads="1"/>
              <a:extLst>
                <a:ext uri="{84589F7E-364E-4C9E-8A38-B11213B215E9}">
                  <a14:cameraTool cellRange="'Pivot Report'!$A$50:$D$52" spid="_x0000_s2227"/>
                </a:ext>
              </a:extLst>
            </xdr:cNvPicPr>
          </xdr:nvPicPr>
          <xdr:blipFill>
            <a:blip xmlns:r="http://schemas.openxmlformats.org/officeDocument/2006/relationships" r:embed="rId15"/>
            <a:srcRect/>
            <a:stretch>
              <a:fillRect/>
            </a:stretch>
          </xdr:blipFill>
          <xdr:spPr bwMode="auto">
            <a:xfrm>
              <a:off x="757719" y="1476911"/>
              <a:ext cx="3548865" cy="37440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149831</xdr:colOff>
      <xdr:row>10</xdr:row>
      <xdr:rowOff>68494</xdr:rowOff>
    </xdr:from>
    <xdr:to>
      <xdr:col>7</xdr:col>
      <xdr:colOff>51371</xdr:colOff>
      <xdr:row>15</xdr:row>
      <xdr:rowOff>77056</xdr:rowOff>
    </xdr:to>
    <xdr:graphicFrame macro="">
      <xdr:nvGraphicFramePr>
        <xdr:cNvPr id="65" name="Chart 64">
          <a:extLst>
            <a:ext uri="{FF2B5EF4-FFF2-40B4-BE49-F238E27FC236}">
              <a16:creationId xmlns:a16="http://schemas.microsoft.com/office/drawing/2014/main" id="{FA220737-2AB8-4665-9E74-4D0DEEE48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xdr:col>
      <xdr:colOff>470900</xdr:colOff>
      <xdr:row>14</xdr:row>
      <xdr:rowOff>124146</xdr:rowOff>
    </xdr:from>
    <xdr:to>
      <xdr:col>5</xdr:col>
      <xdr:colOff>154113</xdr:colOff>
      <xdr:row>15</xdr:row>
      <xdr:rowOff>89899</xdr:rowOff>
    </xdr:to>
    <xdr:sp macro="" textlink="'Pivot Report'!A5">
      <xdr:nvSpPr>
        <xdr:cNvPr id="68" name="TextBox 67">
          <a:extLst>
            <a:ext uri="{FF2B5EF4-FFF2-40B4-BE49-F238E27FC236}">
              <a16:creationId xmlns:a16="http://schemas.microsoft.com/office/drawing/2014/main" id="{A0284B93-5668-4437-942D-DCD7734E3AFA}"/>
            </a:ext>
          </a:extLst>
        </xdr:cNvPr>
        <xdr:cNvSpPr txBox="1"/>
      </xdr:nvSpPr>
      <xdr:spPr>
        <a:xfrm>
          <a:off x="1686675" y="2701247"/>
          <a:ext cx="1506876" cy="14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Age group</a:t>
          </a:r>
          <a:endParaRPr lang="en-IN" sz="800"/>
        </a:p>
      </xdr:txBody>
    </xdr:sp>
    <xdr:clientData/>
  </xdr:twoCellAnchor>
  <xdr:twoCellAnchor>
    <xdr:from>
      <xdr:col>7</xdr:col>
      <xdr:colOff>119865</xdr:colOff>
      <xdr:row>0</xdr:row>
      <xdr:rowOff>51371</xdr:rowOff>
    </xdr:from>
    <xdr:to>
      <xdr:col>9</xdr:col>
      <xdr:colOff>248290</xdr:colOff>
      <xdr:row>6</xdr:row>
      <xdr:rowOff>171236</xdr:rowOff>
    </xdr:to>
    <xdr:graphicFrame macro="">
      <xdr:nvGraphicFramePr>
        <xdr:cNvPr id="69" name="Chart 68">
          <a:extLst>
            <a:ext uri="{FF2B5EF4-FFF2-40B4-BE49-F238E27FC236}">
              <a16:creationId xmlns:a16="http://schemas.microsoft.com/office/drawing/2014/main" id="{BEBBB90A-66BA-4DE2-9A02-343A7D17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187158</xdr:colOff>
      <xdr:row>0</xdr:row>
      <xdr:rowOff>64213</xdr:rowOff>
    </xdr:from>
    <xdr:to>
      <xdr:col>11</xdr:col>
      <xdr:colOff>569361</xdr:colOff>
      <xdr:row>6</xdr:row>
      <xdr:rowOff>158393</xdr:rowOff>
    </xdr:to>
    <xdr:graphicFrame macro="">
      <xdr:nvGraphicFramePr>
        <xdr:cNvPr id="71" name="Chart 70">
          <a:extLst>
            <a:ext uri="{FF2B5EF4-FFF2-40B4-BE49-F238E27FC236}">
              <a16:creationId xmlns:a16="http://schemas.microsoft.com/office/drawing/2014/main" id="{4E920CC8-7C26-4569-9F8F-257CA3513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520559</xdr:colOff>
      <xdr:row>14</xdr:row>
      <xdr:rowOff>79625</xdr:rowOff>
    </xdr:from>
    <xdr:to>
      <xdr:col>10</xdr:col>
      <xdr:colOff>539394</xdr:colOff>
      <xdr:row>15</xdr:row>
      <xdr:rowOff>45378</xdr:rowOff>
    </xdr:to>
    <xdr:sp macro="" textlink="'Pivot Report'!K21">
      <xdr:nvSpPr>
        <xdr:cNvPr id="73" name="TextBox 72">
          <a:extLst>
            <a:ext uri="{FF2B5EF4-FFF2-40B4-BE49-F238E27FC236}">
              <a16:creationId xmlns:a16="http://schemas.microsoft.com/office/drawing/2014/main" id="{FB267341-09EF-4CB8-96BB-C9467D117C10}"/>
            </a:ext>
          </a:extLst>
        </xdr:cNvPr>
        <xdr:cNvSpPr txBox="1"/>
      </xdr:nvSpPr>
      <xdr:spPr>
        <a:xfrm>
          <a:off x="4775772" y="2656726"/>
          <a:ext cx="1842498" cy="149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Department Referal</a:t>
          </a:r>
          <a:endParaRPr lang="en-IN" sz="800"/>
        </a:p>
      </xdr:txBody>
    </xdr:sp>
    <xdr:clientData/>
  </xdr:twoCellAnchor>
  <xdr:twoCellAnchor>
    <xdr:from>
      <xdr:col>7</xdr:col>
      <xdr:colOff>124148</xdr:colOff>
      <xdr:row>7</xdr:row>
      <xdr:rowOff>94178</xdr:rowOff>
    </xdr:from>
    <xdr:to>
      <xdr:col>11</xdr:col>
      <xdr:colOff>398125</xdr:colOff>
      <xdr:row>14</xdr:row>
      <xdr:rowOff>77055</xdr:rowOff>
    </xdr:to>
    <xdr:graphicFrame macro="">
      <xdr:nvGraphicFramePr>
        <xdr:cNvPr id="74" name="Chart 73">
          <a:extLst>
            <a:ext uri="{FF2B5EF4-FFF2-40B4-BE49-F238E27FC236}">
              <a16:creationId xmlns:a16="http://schemas.microsoft.com/office/drawing/2014/main" id="{642C7C14-51C0-47D1-BF43-D5A4D1D8C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5</xdr:col>
      <xdr:colOff>365289</xdr:colOff>
      <xdr:row>0</xdr:row>
      <xdr:rowOff>51062</xdr:rowOff>
    </xdr:from>
    <xdr:to>
      <xdr:col>7</xdr:col>
      <xdr:colOff>70701</xdr:colOff>
      <xdr:row>2</xdr:row>
      <xdr:rowOff>161042</xdr:rowOff>
    </xdr:to>
    <mc:AlternateContent xmlns:mc="http://schemas.openxmlformats.org/markup-compatibility/2006" xmlns:a14="http://schemas.microsoft.com/office/drawing/2010/main">
      <mc:Choice Requires="a14">
        <xdr:graphicFrame macro="">
          <xdr:nvGraphicFramePr>
            <xdr:cNvPr id="75" name="Date (Year) 1">
              <a:extLst>
                <a:ext uri="{FF2B5EF4-FFF2-40B4-BE49-F238E27FC236}">
                  <a16:creationId xmlns:a16="http://schemas.microsoft.com/office/drawing/2014/main" id="{5389919D-5A04-4E92-8F2E-335D56685B7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409361" y="51062"/>
              <a:ext cx="923041" cy="479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0.20519</cdr:x>
      <cdr:y>0.34551</cdr:y>
    </cdr:from>
    <cdr:to>
      <cdr:x>0.82075</cdr:x>
      <cdr:y>0.51124</cdr:y>
    </cdr:to>
    <cdr:sp macro="" textlink="">
      <cdr:nvSpPr>
        <cdr:cNvPr id="2" name="Rectangle 1">
          <a:extLst xmlns:a="http://schemas.openxmlformats.org/drawingml/2006/main">
            <a:ext uri="{FF2B5EF4-FFF2-40B4-BE49-F238E27FC236}">
              <a16:creationId xmlns:a16="http://schemas.microsoft.com/office/drawing/2014/main" id="{6D314885-36B5-ABEB-91F9-FC3556E7EE79}"/>
            </a:ext>
          </a:extLst>
        </cdr:cNvPr>
        <cdr:cNvSpPr/>
      </cdr:nvSpPr>
      <cdr:spPr>
        <a:xfrm xmlns:a="http://schemas.openxmlformats.org/drawingml/2006/main">
          <a:off x="372438" y="526550"/>
          <a:ext cx="1117314" cy="25257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0.87762</cdr:y>
    </cdr:from>
    <cdr:to>
      <cdr:x>1</cdr:x>
      <cdr:y>1</cdr:y>
    </cdr:to>
    <cdr:sp macro="" textlink="">
      <cdr:nvSpPr>
        <cdr:cNvPr id="3" name="TextBox 67">
          <a:extLst xmlns:a="http://schemas.openxmlformats.org/drawingml/2006/main">
            <a:ext uri="{FF2B5EF4-FFF2-40B4-BE49-F238E27FC236}">
              <a16:creationId xmlns:a16="http://schemas.microsoft.com/office/drawing/2014/main" id="{A0284B93-5668-4437-942D-DCD7734E3AFA}"/>
            </a:ext>
          </a:extLst>
        </cdr:cNvPr>
        <cdr:cNvSpPr txBox="1"/>
      </cdr:nvSpPr>
      <cdr:spPr>
        <a:xfrm xmlns:a="http://schemas.openxmlformats.org/drawingml/2006/main">
          <a:off x="0" y="1074505"/>
          <a:ext cx="1344201" cy="14983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Patient</a:t>
          </a:r>
          <a:r>
            <a:rPr lang="en-IN" sz="800" baseline="0"/>
            <a:t>s Attended Within Time</a:t>
          </a:r>
          <a:endParaRPr lang="en-IN" sz="800"/>
        </a:p>
      </cdr:txBody>
    </cdr:sp>
  </cdr:relSizeAnchor>
</c:userShapes>
</file>

<file path=xl/drawings/drawing5.xml><?xml version="1.0" encoding="utf-8"?>
<c:userShapes xmlns:c="http://schemas.openxmlformats.org/drawingml/2006/chart">
  <cdr:relSizeAnchor xmlns:cdr="http://schemas.openxmlformats.org/drawingml/2006/chartDrawing">
    <cdr:from>
      <cdr:x>0.02368</cdr:x>
      <cdr:y>0.88214</cdr:y>
    </cdr:from>
    <cdr:to>
      <cdr:x>0.95</cdr:x>
      <cdr:y>1</cdr:y>
    </cdr:to>
    <cdr:sp macro="" textlink="">
      <cdr:nvSpPr>
        <cdr:cNvPr id="2" name="TextBox 67">
          <a:extLst xmlns:a="http://schemas.openxmlformats.org/drawingml/2006/main">
            <a:ext uri="{FF2B5EF4-FFF2-40B4-BE49-F238E27FC236}">
              <a16:creationId xmlns:a16="http://schemas.microsoft.com/office/drawing/2014/main" id="{A0284B93-5668-4437-942D-DCD7734E3AFA}"/>
            </a:ext>
          </a:extLst>
        </cdr:cNvPr>
        <cdr:cNvSpPr txBox="1"/>
      </cdr:nvSpPr>
      <cdr:spPr>
        <a:xfrm xmlns:a="http://schemas.openxmlformats.org/drawingml/2006/main">
          <a:off x="38528" y="1057382"/>
          <a:ext cx="1506876" cy="1412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Gender</a:t>
          </a:r>
          <a:r>
            <a:rPr lang="en-IN" sz="800" baseline="0"/>
            <a:t> Wise Analysis</a:t>
          </a:r>
          <a:endParaRPr lang="en-IN" sz="8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599090</xdr:colOff>
      <xdr:row>14</xdr:row>
      <xdr:rowOff>21020</xdr:rowOff>
    </xdr:to>
    <xdr:graphicFrame macro="">
      <xdr:nvGraphicFramePr>
        <xdr:cNvPr id="3" name="Chart 2">
          <a:extLst>
            <a:ext uri="{FF2B5EF4-FFF2-40B4-BE49-F238E27FC236}">
              <a16:creationId xmlns:a16="http://schemas.microsoft.com/office/drawing/2014/main" id="{08E00DB1-5D17-49BE-8DA0-518E47937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478221</xdr:colOff>
      <xdr:row>2</xdr:row>
      <xdr:rowOff>110359</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D1A113CB-91AB-88D3-8BA0-35D649E82F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78221" cy="478221"/>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0.09797</cdr:x>
      <cdr:y>0.78881</cdr:y>
    </cdr:from>
    <cdr:to>
      <cdr:x>0.80037</cdr:x>
      <cdr:y>0.89892</cdr:y>
    </cdr:to>
    <cdr:sp macro="" textlink="">
      <cdr:nvSpPr>
        <cdr:cNvPr id="2" name="TextBox 1">
          <a:extLst xmlns:a="http://schemas.openxmlformats.org/drawingml/2006/main">
            <a:ext uri="{FF2B5EF4-FFF2-40B4-BE49-F238E27FC236}">
              <a16:creationId xmlns:a16="http://schemas.microsoft.com/office/drawing/2014/main" id="{1735AAF7-D649-A951-1858-A2B0F89C40C6}"/>
            </a:ext>
          </a:extLst>
        </cdr:cNvPr>
        <cdr:cNvSpPr txBox="1"/>
      </cdr:nvSpPr>
      <cdr:spPr>
        <a:xfrm xmlns:a="http://schemas.openxmlformats.org/drawingml/2006/main">
          <a:off x="835572" y="2296511"/>
          <a:ext cx="5990897" cy="32056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en-IN" sz="1100" kern="1200"/>
            <a:t>              </a:t>
          </a:r>
        </a:p>
      </cdr:txBody>
    </cdr:sp>
  </cdr:relSizeAnchor>
  <cdr:relSizeAnchor xmlns:cdr="http://schemas.openxmlformats.org/drawingml/2006/chartDrawing">
    <cdr:from>
      <cdr:x>0.1029</cdr:x>
      <cdr:y>0.88989</cdr:y>
    </cdr:from>
    <cdr:to>
      <cdr:x>0.8053</cdr:x>
      <cdr:y>1</cdr:y>
    </cdr:to>
    <cdr:sp macro="" textlink="">
      <cdr:nvSpPr>
        <cdr:cNvPr id="3" name="TextBox 2">
          <a:extLst xmlns:a="http://schemas.openxmlformats.org/drawingml/2006/main">
            <a:ext uri="{FF2B5EF4-FFF2-40B4-BE49-F238E27FC236}">
              <a16:creationId xmlns:a16="http://schemas.microsoft.com/office/drawing/2014/main" id="{9E86901D-4A4B-2623-605F-91DA3F016028}"/>
            </a:ext>
          </a:extLst>
        </cdr:cNvPr>
        <cdr:cNvSpPr txBox="1"/>
      </cdr:nvSpPr>
      <cdr:spPr>
        <a:xfrm xmlns:a="http://schemas.openxmlformats.org/drawingml/2006/main">
          <a:off x="877098" y="2310207"/>
          <a:ext cx="5987207" cy="28584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r>
            <a:rPr lang="en-IN" sz="1100" kern="1200"/>
            <a:t>              </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589935</xdr:colOff>
      <xdr:row>17</xdr:row>
      <xdr:rowOff>129396</xdr:rowOff>
    </xdr:to>
    <xdr:graphicFrame macro="">
      <xdr:nvGraphicFramePr>
        <xdr:cNvPr id="2" name="Chart 1">
          <a:extLst>
            <a:ext uri="{FF2B5EF4-FFF2-40B4-BE49-F238E27FC236}">
              <a16:creationId xmlns:a16="http://schemas.microsoft.com/office/drawing/2014/main" id="{A2283C68-3152-436A-97E4-91BB69053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116758</xdr:colOff>
      <xdr:row>19</xdr:row>
      <xdr:rowOff>98323</xdr:rowOff>
    </xdr:from>
    <xdr:ext cx="7601565" cy="264560"/>
    <xdr:sp macro="" textlink="">
      <xdr:nvSpPr>
        <xdr:cNvPr id="3" name="TextBox 2">
          <a:extLst>
            <a:ext uri="{FF2B5EF4-FFF2-40B4-BE49-F238E27FC236}">
              <a16:creationId xmlns:a16="http://schemas.microsoft.com/office/drawing/2014/main" id="{CDA3334C-9D02-9816-C476-43CFA3B1A2EA}"/>
            </a:ext>
          </a:extLst>
        </xdr:cNvPr>
        <xdr:cNvSpPr txBox="1"/>
      </xdr:nvSpPr>
      <xdr:spPr>
        <a:xfrm>
          <a:off x="725129" y="3601065"/>
          <a:ext cx="76015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Use</a:t>
          </a:r>
          <a:r>
            <a:rPr lang="en-IN" sz="1100" baseline="0"/>
            <a:t> an area chart to tract daily changes and highlight days with longer wait time that might need improvement</a:t>
          </a:r>
          <a:endParaRPr lang="en-IN" sz="1100"/>
        </a:p>
      </xdr:txBody>
    </xdr:sp>
    <xdr:clientData/>
  </xdr:oneCellAnchor>
  <xdr:twoCellAnchor editAs="oneCell">
    <xdr:from>
      <xdr:col>0</xdr:col>
      <xdr:colOff>0</xdr:colOff>
      <xdr:row>0</xdr:row>
      <xdr:rowOff>0</xdr:rowOff>
    </xdr:from>
    <xdr:to>
      <xdr:col>0</xdr:col>
      <xdr:colOff>577645</xdr:colOff>
      <xdr:row>3</xdr:row>
      <xdr:rowOff>24580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3C80ECFC-DB36-9D98-5223-7CA7B108EE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77645" cy="5776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599440</xdr:colOff>
      <xdr:row>0</xdr:row>
      <xdr:rowOff>0</xdr:rowOff>
    </xdr:from>
    <xdr:to>
      <xdr:col>17</xdr:col>
      <xdr:colOff>584200</xdr:colOff>
      <xdr:row>15</xdr:row>
      <xdr:rowOff>81280</xdr:rowOff>
    </xdr:to>
    <xdr:graphicFrame macro="">
      <xdr:nvGraphicFramePr>
        <xdr:cNvPr id="2" name="Chart 1">
          <a:extLst>
            <a:ext uri="{FF2B5EF4-FFF2-40B4-BE49-F238E27FC236}">
              <a16:creationId xmlns:a16="http://schemas.microsoft.com/office/drawing/2014/main" id="{9A606504-83C3-4DBB-85D5-23EA75500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1.09544E-7</cdr:x>
      <cdr:y>3.54047E-7</cdr:y>
    </cdr:from>
    <cdr:to>
      <cdr:x>0.05899</cdr:x>
      <cdr:y>0.16519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5F5A2E6-413F-192E-E8BE-0BAA1527E73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538479" cy="46656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09259256" createdVersion="5" refreshedVersion="8" minRefreshableVersion="3" recordCount="0" supportSubquery="1" supportAdvancedDrill="1" xr:uid="{6BBF3EE2-8F85-4E57-8A1C-3F8DAE9477D7}">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11689812" createdVersion="5" refreshedVersion="8" minRefreshableVersion="3" recordCount="0" supportSubquery="1" supportAdvancedDrill="1" xr:uid="{7F956ADE-B338-4357-A358-549196CF651C}">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14583336" createdVersion="5" refreshedVersion="8" minRefreshableVersion="3" recordCount="0" supportSubquery="1" supportAdvancedDrill="1" xr:uid="{38C97697-D015-4D78-8BBF-D5B2E6BE83D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17476854" createdVersion="5" refreshedVersion="8" minRefreshableVersion="3" recordCount="0" supportSubquery="1" supportAdvancedDrill="1" xr:uid="{37D39109-B806-471B-BAD3-BF4E8FB02C2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19907409" createdVersion="5" refreshedVersion="8" minRefreshableVersion="3" recordCount="0" supportSubquery="1" supportAdvancedDrill="1" xr:uid="{7EEBD54F-5823-47F7-88BB-CA8DBEC6F0F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e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22453703" createdVersion="5" refreshedVersion="8" minRefreshableVersion="3" recordCount="0" supportSubquery="1" supportAdvancedDrill="1" xr:uid="{F54C8EAB-9931-48EF-8817-0E9AC856C4C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25231482" createdVersion="5" refreshedVersion="8" minRefreshableVersion="3" recordCount="0" supportSubquery="1" supportAdvancedDrill="1" xr:uid="{79D39F31-6AF8-46C5-B546-9D78A70A9D36}">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27662038" createdVersion="5" refreshedVersion="8" minRefreshableVersion="3" recordCount="0" supportSubquery="1" supportAdvancedDrill="1" xr:uid="{FD0B9A81-C233-4E29-92CC-DBFE58E76F5E}">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29976854" createdVersion="5" refreshedVersion="8" minRefreshableVersion="3" recordCount="0" supportSubquery="1" supportAdvancedDrill="1" xr:uid="{A02A567D-1B1B-4467-9D6D-2FBBFFD28116}">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32870372" createdVersion="5" refreshedVersion="8" minRefreshableVersion="3" recordCount="0" supportSubquery="1" supportAdvancedDrill="1" xr:uid="{A1D5AE91-EE11-4721-A5CA-293C71D1B604}">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35763889" createdVersion="5" refreshedVersion="8" minRefreshableVersion="3" recordCount="0" supportSubquery="1" supportAdvancedDrill="1" xr:uid="{8B37A16E-2F51-4B00-95D2-13E5C83B5CFA}">
  <cacheSource type="external" connectionId="3"/>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79.525238541668" createdVersion="5" refreshedVersion="8" minRefreshableVersion="3" recordCount="0" supportSubquery="1" supportAdvancedDrill="1" xr:uid="{9065AA77-8454-48B9-84C4-CEE8048C3070}">
  <cacheSource type="external" connectionId="3"/>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02.452165393515" createdVersion="3" refreshedVersion="8" minRefreshableVersion="3" recordCount="0" supportSubquery="1" supportAdvancedDrill="1" xr:uid="{228ECEAE-6FF8-4D37-AA0D-BCD4CAE1D82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12754309"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ina Mahajan" refreshedDate="46102.453672222226" createdVersion="3" refreshedVersion="8" minRefreshableVersion="3" recordCount="0" supportSubquery="1" supportAdvancedDrill="1" xr:uid="{E848301B-297D-42A9-B00C-AE8F6E52F1D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381703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46591-0FB8-4769-B202-269B6F5FEE3D}" name="PivotTable14" cacheId="6" applyNumberFormats="0" applyBorderFormats="0" applyFontFormats="0" applyPatternFormats="0" applyAlignmentFormats="0" applyWidthHeightFormats="1" dataCaption="Values" tag="352f5b36-aabe-42a2-b3d4-1386ad260f1e" updatedVersion="8" minRefreshableVersion="3" subtotalHiddenItems="1" itemPrintTitles="1" createdVersion="5" indent="0" outline="1" outlineData="1" multipleFieldFilters="0" chartFormat="28">
  <location ref="A88:B9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171324-5791-4717-BE40-25F7981318E7}" name="PivotTable1" cacheId="1" applyNumberFormats="0" applyBorderFormats="0" applyFontFormats="0" applyPatternFormats="0" applyAlignmentFormats="0" applyWidthHeightFormats="1" dataCaption="Values" tag="51d7f854-a251-4dc3-9658-c1b2b60ce3f7"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AAA4C-1CE1-434E-BFC1-1D30C96DE1BE}" name="PivotTable8" cacheId="11" applyNumberFormats="0" applyBorderFormats="0" applyFontFormats="0" applyPatternFormats="0" applyAlignmentFormats="0" applyWidthHeightFormats="1" dataCaption="Values" tag="53313b97-c9a1-4cd1-abd8-a99b303fcf9d" updatedVersion="8" minRefreshableVersion="3" subtotalHiddenItems="1" itemPrintTitles="1" createdVersion="5" indent="0" outline="1" outlineData="1" multipleFieldFilters="0" chartFormat="36">
  <location ref="M5:N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2">
      <pivotArea collapsedLevelsAreSubtotals="1" fieldPosition="0">
        <references count="1">
          <reference field="0" count="0"/>
        </references>
      </pivotArea>
    </format>
  </formats>
  <chartFormats count="2">
    <chartFormat chart="29"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B7C585-C9B8-4681-B89F-4DB857788DD3}" name="PivotTable13" cacheId="5" applyNumberFormats="0" applyBorderFormats="0" applyFontFormats="0" applyPatternFormats="0" applyAlignmentFormats="0" applyWidthHeightFormats="1" dataCaption="Values" tag="343c74d5-8b6e-48cc-907f-1fe57d02c82c" updatedVersion="8" minRefreshableVersion="3" subtotalHiddenItems="1" itemPrintTitles="1" createdVersion="5" indent="0" outline="1" outlineData="1" multipleFieldFilters="0" chartFormat="24">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06C396-28FC-4459-8D3B-74FCB837E963}" name="PivotTable7" cacheId="10" applyNumberFormats="0" applyBorderFormats="0" applyFontFormats="0" applyPatternFormats="0" applyAlignmentFormats="0" applyWidthHeightFormats="1" dataCaption="Values" tag="971a8509-f008-495f-83e5-c2fe86801f2d" updatedVersion="8" minRefreshableVersion="3" subtotalHiddenItems="1" itemPrintTitles="1" createdVersion="5" indent="0" outline="1" outlineData="1" multipleFieldFilters="0" chartFormat="26">
  <location ref="G5:H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4">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A4B174-8CD7-436A-AAD6-54F41ADEBDC6}" name="PivotTable6" cacheId="9" applyNumberFormats="0" applyBorderFormats="0" applyFontFormats="0" applyPatternFormats="0" applyAlignmentFormats="0" applyWidthHeightFormats="1" dataCaption="Values" tag="6940cab6-7dff-4e61-b60b-702712f1102b" updatedVersion="8" minRefreshableVersion="3" subtotalHiddenItems="1" itemPrintTitles="1" createdVersion="5" indent="0" outline="1" outlineData="1" multipleFieldFilters="0" chartFormat="17">
  <location ref="C5:D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13159D-3508-4F4E-B807-0ECBBA8B6059}" name="PivotTable12" cacheId="4" applyNumberFormats="0" applyBorderFormats="0" applyFontFormats="0" applyPatternFormats="0" applyAlignmentFormats="0" applyWidthHeightFormats="1" dataCaption="Values" tag="8abc80e2-d1ee-4e23-93f5-fefafd9ea095" updatedVersion="8" minRefreshableVersion="3" subtotalHiddenItems="1" itemPrintTitles="1" createdVersion="5" indent="0" outline="1" outlineData="1" multipleFieldFilters="0" chartFormat="18">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5">
      <pivotArea outline="0" collapsedLevelsAreSubtotals="1" fieldPosition="0"/>
    </format>
  </formats>
  <chartFormats count="6">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AF81D8-0ED1-49F0-9486-E3CD3352A61E}" name="PivotTable5" cacheId="8" applyNumberFormats="0" applyBorderFormats="0" applyFontFormats="0" applyPatternFormats="0" applyAlignmentFormats="0" applyWidthHeightFormats="1" dataCaption="Values" tag="f0882062-dbf1-4ad8-970c-cff4c7c9d13f"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6">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7117EF-E4DD-4ABA-A2C0-D21C1A6A7A0D}" name="PivotTable11" cacheId="3" applyNumberFormats="0" applyBorderFormats="0" applyFontFormats="0" applyPatternFormats="0" applyAlignmentFormats="0" applyWidthHeightFormats="1" dataCaption="Values" tag="5b365d06-2f8a-450d-ad1b-0c717ebd0ec6" updatedVersion="8" minRefreshableVersion="3" subtotalHiddenItems="1" itemPrintTitles="1" createdVersion="5" indent="0" outline="1" outlineData="1" multipleFieldFilters="0" chartFormat="8">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8">
      <pivotArea outline="0" collapsedLevelsAreSubtotals="1" fieldPosition="0"/>
    </format>
    <format dxfId="7">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3B778F-2FBD-47CD-811E-E516F1335912}" name="PivotTable4" cacheId="7" applyNumberFormats="0" applyBorderFormats="0" applyFontFormats="0" applyPatternFormats="0" applyAlignmentFormats="0" applyWidthHeightFormats="1" dataCaption="Values" tag="3bd60810-9cf9-463c-be45-f520ba4b63e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91E6DF-7E4E-42E9-B308-91B52051AD44}" name="PivotTable10" cacheId="2" applyNumberFormats="0" applyBorderFormats="0" applyFontFormats="0" applyPatternFormats="0" applyAlignmentFormats="0" applyWidthHeightFormats="1" dataCaption="Values" tag="6672a336-f8a7-468d-bfe1-c86e3abe967d" updatedVersion="8" minRefreshableVersion="3" subtotalHiddenItems="1" itemPrintTitles="1" createdVersion="5" indent="0" outline="1" outlineData="1" multipleFieldFilters="0" chartFormat="2">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3">
      <pivotArea outline="0" collapsedLevelsAreSubtotals="1" fieldPosition="0"/>
    </format>
    <format dxfId="12">
      <pivotArea outline="0" fieldPosition="0">
        <references count="1">
          <reference field="4294967294" count="1">
            <x v="1"/>
          </reference>
        </references>
      </pivotArea>
    </format>
    <format dxfId="11">
      <pivotArea collapsedLevelsAreSubtotals="1" fieldPosition="0">
        <references count="2">
          <reference field="4294967294" count="1" selected="0">
            <x v="0"/>
          </reference>
          <reference field="2" count="1">
            <x v="0"/>
          </reference>
        </references>
      </pivotArea>
    </format>
    <format dxfId="10">
      <pivotArea collapsedLevelsAreSubtotals="1" fieldPosition="0">
        <references count="2">
          <reference field="4294967294" count="1" selected="0">
            <x v="0"/>
          </reference>
          <reference field="2"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ABD9A1-D030-40EA-949C-E7CF6C5CDC0A}" name="PivotTable15" cacheId="0" applyNumberFormats="0" applyBorderFormats="0" applyFontFormats="0" applyPatternFormats="0" applyAlignmentFormats="0" applyWidthHeightFormats="1" dataCaption="Values" tag="5b71c69d-ea29-4939-a0ed-5b1a03b5015e" updatedVersion="8" minRefreshableVersion="3" subtotalHiddenItems="1" itemPrintTitles="1" createdVersion="5" indent="0" outline="1" outlineData="1" multipleFieldFilters="0" chartFormat="28">
  <location ref="A103:A10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4">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DE1A7A6-7707-4CE3-895D-46D57C43E521}" sourceName="[Calendar_Table].[Date (Month)]">
  <pivotTables>
    <pivotTable tabId="1" name="PivotTable6"/>
    <pivotTable tabId="1" name="PivotTable1"/>
    <pivotTable tabId="1" name="PivotTable4"/>
    <pivotTable tabId="1" name="PivotTable5"/>
    <pivotTable tabId="1" name="PivotTable7"/>
    <pivotTable tabId="1" name="PivotTable8"/>
    <pivotTable tabId="1" name="PivotTable10"/>
    <pivotTable tabId="1" name="PivotTable11"/>
    <pivotTable tabId="1" name="PivotTable12"/>
    <pivotTable tabId="1" name="PivotTable13"/>
    <pivotTable tabId="1" name="PivotTable14"/>
    <pivotTable tabId="1" name="PivotTable15"/>
  </pivotTables>
  <data>
    <olap pivotCacheId="51275430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D11328C-57BD-4D0A-986C-682113345BAF}" sourceName="[Calenda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4"/>
    <pivotTable tabId="1" name="PivotTable5"/>
    <pivotTable tabId="1" name="PivotTable6"/>
    <pivotTable tabId="1" name="PivotTable7"/>
    <pivotTable tabId="1" name="PivotTable8"/>
  </pivotTables>
  <data>
    <olap pivotCacheId="213817031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8D272260-6C07-422A-B416-9D0621FD4FEA}"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A60CFF2-DC36-41D1-8014-76B814463CD4}" cache="Slicer_Date__Month" caption="Date (Month)" showCaption="0" level="1" style="My Style" rowHeight="140400"/>
  <slicer name="Date (Year) 1" xr10:uid="{0831ED31-6E1E-4C96-9363-4105B23184C0}" cache="Slicer_Date__Year" caption="Date (Year)" columnCount="2" showCaption="0" level="1" style="My Style"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EF5C-C05A-46B5-8EBB-522774461942}">
  <dimension ref="A3:N105"/>
  <sheetViews>
    <sheetView topLeftCell="A95" zoomScale="148" workbookViewId="0">
      <selection activeCell="A103" sqref="A103"/>
    </sheetView>
  </sheetViews>
  <sheetFormatPr defaultRowHeight="14.4" x14ac:dyDescent="0.3"/>
  <cols>
    <col min="1" max="2" width="17.33203125" customWidth="1"/>
    <col min="3" max="3" width="17" customWidth="1"/>
    <col min="4" max="4" width="20.77734375" customWidth="1"/>
    <col min="7" max="7" width="16.5546875" customWidth="1"/>
    <col min="8" max="8" width="12.88671875" customWidth="1"/>
    <col min="13" max="13" width="14.21875" customWidth="1"/>
  </cols>
  <sheetData>
    <row r="3" spans="1:14" x14ac:dyDescent="0.3">
      <c r="A3" t="s">
        <v>3</v>
      </c>
    </row>
    <row r="4" spans="1:14" x14ac:dyDescent="0.3">
      <c r="A4" t="s">
        <v>2</v>
      </c>
      <c r="C4" t="s">
        <v>23</v>
      </c>
      <c r="G4" t="s">
        <v>24</v>
      </c>
      <c r="M4" t="s">
        <v>25</v>
      </c>
    </row>
    <row r="5" spans="1:14" x14ac:dyDescent="0.3">
      <c r="A5">
        <v>471</v>
      </c>
      <c r="C5" s="1" t="s">
        <v>0</v>
      </c>
      <c r="D5" t="s">
        <v>2</v>
      </c>
      <c r="G5" s="1" t="s">
        <v>0</v>
      </c>
      <c r="H5" t="s">
        <v>4</v>
      </c>
      <c r="M5" s="1" t="s">
        <v>0</v>
      </c>
      <c r="N5" t="s">
        <v>5</v>
      </c>
    </row>
    <row r="6" spans="1:14" x14ac:dyDescent="0.3">
      <c r="C6" s="2" t="s">
        <v>46</v>
      </c>
      <c r="D6">
        <v>20</v>
      </c>
      <c r="G6" s="2" t="s">
        <v>46</v>
      </c>
      <c r="H6" s="3">
        <v>37.4</v>
      </c>
      <c r="M6" s="2" t="s">
        <v>46</v>
      </c>
      <c r="N6" s="3">
        <v>4.8571428571428568</v>
      </c>
    </row>
    <row r="7" spans="1:14" x14ac:dyDescent="0.3">
      <c r="C7" s="2" t="s">
        <v>47</v>
      </c>
      <c r="D7">
        <v>11</v>
      </c>
      <c r="G7" s="2" t="s">
        <v>47</v>
      </c>
      <c r="H7" s="3">
        <v>38.545454545454547</v>
      </c>
      <c r="M7" s="2" t="s">
        <v>47</v>
      </c>
      <c r="N7" s="3">
        <v>8</v>
      </c>
    </row>
    <row r="8" spans="1:14" x14ac:dyDescent="0.3">
      <c r="A8" t="s">
        <v>4</v>
      </c>
      <c r="C8" s="2" t="s">
        <v>48</v>
      </c>
      <c r="D8">
        <v>18</v>
      </c>
      <c r="G8" s="2" t="s">
        <v>48</v>
      </c>
      <c r="H8" s="3">
        <v>31.333333333333332</v>
      </c>
      <c r="M8" s="2" t="s">
        <v>48</v>
      </c>
      <c r="N8" s="3">
        <v>6</v>
      </c>
    </row>
    <row r="9" spans="1:14" x14ac:dyDescent="0.3">
      <c r="A9" s="3">
        <v>34.050955414012741</v>
      </c>
      <c r="C9" s="2" t="s">
        <v>49</v>
      </c>
      <c r="D9">
        <v>16</v>
      </c>
      <c r="G9" s="2" t="s">
        <v>49</v>
      </c>
      <c r="H9" s="3">
        <v>36.5</v>
      </c>
      <c r="M9" s="2" t="s">
        <v>49</v>
      </c>
      <c r="N9" s="3">
        <v>6.8</v>
      </c>
    </row>
    <row r="10" spans="1:14" x14ac:dyDescent="0.3">
      <c r="C10" s="2" t="s">
        <v>50</v>
      </c>
      <c r="D10">
        <v>11</v>
      </c>
      <c r="G10" s="2" t="s">
        <v>50</v>
      </c>
      <c r="H10" s="3">
        <v>25.727272727272727</v>
      </c>
      <c r="M10" s="2" t="s">
        <v>50</v>
      </c>
      <c r="N10" s="3">
        <v>3.5</v>
      </c>
    </row>
    <row r="11" spans="1:14" x14ac:dyDescent="0.3">
      <c r="A11" t="s">
        <v>5</v>
      </c>
      <c r="C11" s="2" t="s">
        <v>51</v>
      </c>
      <c r="D11">
        <v>11</v>
      </c>
      <c r="G11" s="2" t="s">
        <v>51</v>
      </c>
      <c r="H11" s="3">
        <v>29.272727272727273</v>
      </c>
      <c r="M11" s="2" t="s">
        <v>51</v>
      </c>
      <c r="N11" s="3">
        <v>0.5</v>
      </c>
    </row>
    <row r="12" spans="1:14" x14ac:dyDescent="0.3">
      <c r="A12" s="3">
        <v>5.3120000000000003</v>
      </c>
      <c r="C12" s="2" t="s">
        <v>52</v>
      </c>
      <c r="D12">
        <v>14</v>
      </c>
      <c r="G12" s="2" t="s">
        <v>52</v>
      </c>
      <c r="H12" s="3">
        <v>33.5</v>
      </c>
      <c r="M12" s="2" t="s">
        <v>52</v>
      </c>
      <c r="N12" s="3">
        <v>4</v>
      </c>
    </row>
    <row r="13" spans="1:14" x14ac:dyDescent="0.3">
      <c r="C13" s="2" t="s">
        <v>53</v>
      </c>
      <c r="D13">
        <v>16</v>
      </c>
      <c r="G13" s="2" t="s">
        <v>53</v>
      </c>
      <c r="H13" s="3">
        <v>27.1875</v>
      </c>
      <c r="M13" s="2" t="s">
        <v>53</v>
      </c>
      <c r="N13" s="3">
        <v>4.75</v>
      </c>
    </row>
    <row r="14" spans="1:14" x14ac:dyDescent="0.3">
      <c r="C14" s="2" t="s">
        <v>54</v>
      </c>
      <c r="D14">
        <v>18</v>
      </c>
      <c r="G14" s="2" t="s">
        <v>54</v>
      </c>
      <c r="H14" s="3">
        <v>30.333333333333332</v>
      </c>
      <c r="M14" s="2" t="s">
        <v>54</v>
      </c>
      <c r="N14" s="3">
        <v>5</v>
      </c>
    </row>
    <row r="15" spans="1:14" x14ac:dyDescent="0.3">
      <c r="C15" s="2" t="s">
        <v>55</v>
      </c>
      <c r="D15">
        <v>10</v>
      </c>
      <c r="G15" s="2" t="s">
        <v>55</v>
      </c>
      <c r="H15" s="3">
        <v>32.5</v>
      </c>
      <c r="M15" s="2" t="s">
        <v>55</v>
      </c>
      <c r="N15" s="3">
        <v>10</v>
      </c>
    </row>
    <row r="16" spans="1:14" x14ac:dyDescent="0.3">
      <c r="C16" s="2" t="s">
        <v>56</v>
      </c>
      <c r="D16">
        <v>23</v>
      </c>
      <c r="G16" s="2" t="s">
        <v>56</v>
      </c>
      <c r="H16" s="3">
        <v>33.565217391304351</v>
      </c>
      <c r="M16" s="2" t="s">
        <v>56</v>
      </c>
      <c r="N16" s="3">
        <v>5.5</v>
      </c>
    </row>
    <row r="17" spans="3:14" x14ac:dyDescent="0.3">
      <c r="C17" s="2" t="s">
        <v>57</v>
      </c>
      <c r="D17">
        <v>19</v>
      </c>
      <c r="G17" s="2" t="s">
        <v>57</v>
      </c>
      <c r="H17" s="3">
        <v>37.473684210526315</v>
      </c>
      <c r="M17" s="2" t="s">
        <v>57</v>
      </c>
      <c r="N17" s="3">
        <v>4</v>
      </c>
    </row>
    <row r="18" spans="3:14" x14ac:dyDescent="0.3">
      <c r="C18" s="2" t="s">
        <v>58</v>
      </c>
      <c r="D18">
        <v>14</v>
      </c>
      <c r="G18" s="2" t="s">
        <v>58</v>
      </c>
      <c r="H18" s="3">
        <v>33.857142857142854</v>
      </c>
      <c r="M18" s="2" t="s">
        <v>58</v>
      </c>
      <c r="N18" s="3">
        <v>2.6666666666666665</v>
      </c>
    </row>
    <row r="19" spans="3:14" x14ac:dyDescent="0.3">
      <c r="C19" s="2" t="s">
        <v>59</v>
      </c>
      <c r="D19">
        <v>20</v>
      </c>
      <c r="G19" s="2" t="s">
        <v>59</v>
      </c>
      <c r="H19" s="3">
        <v>32.25</v>
      </c>
      <c r="M19" s="2" t="s">
        <v>59</v>
      </c>
      <c r="N19" s="3">
        <v>5.1111111111111107</v>
      </c>
    </row>
    <row r="20" spans="3:14" x14ac:dyDescent="0.3">
      <c r="C20" s="2" t="s">
        <v>60</v>
      </c>
      <c r="D20">
        <v>15</v>
      </c>
      <c r="G20" s="2" t="s">
        <v>60</v>
      </c>
      <c r="H20" s="3">
        <v>43.666666666666664</v>
      </c>
      <c r="M20" s="2" t="s">
        <v>60</v>
      </c>
      <c r="N20" s="3">
        <v>6.25</v>
      </c>
    </row>
    <row r="21" spans="3:14" x14ac:dyDescent="0.3">
      <c r="C21" s="2" t="s">
        <v>61</v>
      </c>
      <c r="D21">
        <v>12</v>
      </c>
      <c r="G21" s="2" t="s">
        <v>61</v>
      </c>
      <c r="H21" s="3">
        <v>30.166666666666668</v>
      </c>
      <c r="M21" s="2" t="s">
        <v>61</v>
      </c>
      <c r="N21" s="3">
        <v>6.333333333333333</v>
      </c>
    </row>
    <row r="22" spans="3:14" x14ac:dyDescent="0.3">
      <c r="C22" s="2" t="s">
        <v>62</v>
      </c>
      <c r="D22">
        <v>17</v>
      </c>
      <c r="G22" s="2" t="s">
        <v>62</v>
      </c>
      <c r="H22" s="3">
        <v>33.823529411764703</v>
      </c>
      <c r="M22" s="2" t="s">
        <v>62</v>
      </c>
      <c r="N22" s="3">
        <v>7.666666666666667</v>
      </c>
    </row>
    <row r="23" spans="3:14" x14ac:dyDescent="0.3">
      <c r="C23" s="2" t="s">
        <v>63</v>
      </c>
      <c r="D23">
        <v>18</v>
      </c>
      <c r="G23" s="2" t="s">
        <v>63</v>
      </c>
      <c r="H23" s="3">
        <v>32.5</v>
      </c>
      <c r="M23" s="2" t="s">
        <v>63</v>
      </c>
      <c r="N23" s="3">
        <v>5.8</v>
      </c>
    </row>
    <row r="24" spans="3:14" x14ac:dyDescent="0.3">
      <c r="C24" s="2" t="s">
        <v>64</v>
      </c>
      <c r="D24">
        <v>16</v>
      </c>
      <c r="G24" s="2" t="s">
        <v>64</v>
      </c>
      <c r="H24" s="3">
        <v>39.25</v>
      </c>
      <c r="M24" s="2" t="s">
        <v>64</v>
      </c>
      <c r="N24" s="3">
        <v>6.666666666666667</v>
      </c>
    </row>
    <row r="25" spans="3:14" x14ac:dyDescent="0.3">
      <c r="C25" s="2" t="s">
        <v>65</v>
      </c>
      <c r="D25">
        <v>20</v>
      </c>
      <c r="G25" s="2" t="s">
        <v>65</v>
      </c>
      <c r="H25" s="3">
        <v>33.549999999999997</v>
      </c>
      <c r="M25" s="2" t="s">
        <v>65</v>
      </c>
      <c r="N25" s="3">
        <v>5.4444444444444446</v>
      </c>
    </row>
    <row r="26" spans="3:14" x14ac:dyDescent="0.3">
      <c r="C26" s="2" t="s">
        <v>66</v>
      </c>
      <c r="D26">
        <v>17</v>
      </c>
      <c r="G26" s="2" t="s">
        <v>66</v>
      </c>
      <c r="H26" s="3">
        <v>31.117647058823529</v>
      </c>
      <c r="M26" s="2" t="s">
        <v>66</v>
      </c>
      <c r="N26" s="3">
        <v>4.4000000000000004</v>
      </c>
    </row>
    <row r="27" spans="3:14" x14ac:dyDescent="0.3">
      <c r="C27" s="2" t="s">
        <v>67</v>
      </c>
      <c r="D27">
        <v>19</v>
      </c>
      <c r="G27" s="2" t="s">
        <v>67</v>
      </c>
      <c r="H27" s="3">
        <v>36.94736842105263</v>
      </c>
      <c r="M27" s="2" t="s">
        <v>67</v>
      </c>
      <c r="N27" s="3">
        <v>4.8</v>
      </c>
    </row>
    <row r="28" spans="3:14" x14ac:dyDescent="0.3">
      <c r="C28" s="2" t="s">
        <v>68</v>
      </c>
      <c r="D28">
        <v>17</v>
      </c>
      <c r="G28" s="2" t="s">
        <v>68</v>
      </c>
      <c r="H28" s="3">
        <v>43</v>
      </c>
      <c r="M28" s="2" t="s">
        <v>68</v>
      </c>
      <c r="N28" s="3">
        <v>4</v>
      </c>
    </row>
    <row r="29" spans="3:14" x14ac:dyDescent="0.3">
      <c r="C29" s="2" t="s">
        <v>69</v>
      </c>
      <c r="D29">
        <v>18</v>
      </c>
      <c r="G29" s="2" t="s">
        <v>69</v>
      </c>
      <c r="H29" s="3">
        <v>33.055555555555557</v>
      </c>
      <c r="M29" s="2" t="s">
        <v>69</v>
      </c>
      <c r="N29" s="3">
        <v>8.25</v>
      </c>
    </row>
    <row r="30" spans="3:14" x14ac:dyDescent="0.3">
      <c r="C30" s="2" t="s">
        <v>70</v>
      </c>
      <c r="D30">
        <v>18</v>
      </c>
      <c r="G30" s="2" t="s">
        <v>70</v>
      </c>
      <c r="H30" s="3">
        <v>32.888888888888886</v>
      </c>
      <c r="M30" s="2" t="s">
        <v>70</v>
      </c>
      <c r="N30" s="3">
        <v>4.5</v>
      </c>
    </row>
    <row r="31" spans="3:14" x14ac:dyDescent="0.3">
      <c r="C31" s="2" t="s">
        <v>71</v>
      </c>
      <c r="D31">
        <v>15</v>
      </c>
      <c r="G31" s="2" t="s">
        <v>71</v>
      </c>
      <c r="H31" s="3">
        <v>26.6</v>
      </c>
      <c r="M31" s="2" t="s">
        <v>71</v>
      </c>
      <c r="N31" s="3">
        <v>3.5</v>
      </c>
    </row>
    <row r="32" spans="3:14" x14ac:dyDescent="0.3">
      <c r="C32" s="2" t="s">
        <v>72</v>
      </c>
      <c r="D32">
        <v>10</v>
      </c>
      <c r="G32" s="2" t="s">
        <v>72</v>
      </c>
      <c r="H32" s="3">
        <v>28.2</v>
      </c>
      <c r="M32" s="2" t="s">
        <v>72</v>
      </c>
      <c r="N32" s="3">
        <v>7</v>
      </c>
    </row>
    <row r="33" spans="1:14" x14ac:dyDescent="0.3">
      <c r="C33" s="2" t="s">
        <v>73</v>
      </c>
      <c r="D33">
        <v>14</v>
      </c>
      <c r="G33" s="2" t="s">
        <v>73</v>
      </c>
      <c r="H33" s="3">
        <v>37.642857142857146</v>
      </c>
      <c r="M33" s="2" t="s">
        <v>73</v>
      </c>
      <c r="N33" s="3">
        <v>4.5</v>
      </c>
    </row>
    <row r="34" spans="1:14" x14ac:dyDescent="0.3">
      <c r="C34" s="2" t="s">
        <v>74</v>
      </c>
      <c r="D34">
        <v>9</v>
      </c>
      <c r="G34" s="2" t="s">
        <v>74</v>
      </c>
      <c r="H34" s="3">
        <v>40.333333333333336</v>
      </c>
      <c r="M34" s="2" t="s">
        <v>74</v>
      </c>
      <c r="N34" s="3">
        <v>4.666666666666667</v>
      </c>
    </row>
    <row r="35" spans="1:14" x14ac:dyDescent="0.3">
      <c r="C35" s="2" t="s">
        <v>75</v>
      </c>
      <c r="D35">
        <v>15</v>
      </c>
      <c r="G35" s="2" t="s">
        <v>75</v>
      </c>
      <c r="H35" s="3">
        <v>35.93333333333333</v>
      </c>
      <c r="M35" s="2" t="s">
        <v>75</v>
      </c>
      <c r="N35" s="3">
        <v>5.8</v>
      </c>
    </row>
    <row r="36" spans="1:14" x14ac:dyDescent="0.3">
      <c r="C36" s="2" t="s">
        <v>1</v>
      </c>
      <c r="D36">
        <v>471</v>
      </c>
      <c r="G36" s="2" t="s">
        <v>1</v>
      </c>
      <c r="H36">
        <v>34.050955414012741</v>
      </c>
      <c r="M36" s="2" t="s">
        <v>1</v>
      </c>
      <c r="N36">
        <v>5.3120000000000003</v>
      </c>
    </row>
    <row r="41" spans="1:14" x14ac:dyDescent="0.3">
      <c r="A41" s="1" t="s">
        <v>0</v>
      </c>
      <c r="B41" t="s">
        <v>27</v>
      </c>
      <c r="C41" t="s">
        <v>28</v>
      </c>
    </row>
    <row r="42" spans="1:14" x14ac:dyDescent="0.3">
      <c r="A42" s="2" t="s">
        <v>8</v>
      </c>
      <c r="B42" s="4">
        <v>247</v>
      </c>
      <c r="C42" s="8">
        <v>0.52441613588110403</v>
      </c>
    </row>
    <row r="43" spans="1:14" x14ac:dyDescent="0.3">
      <c r="A43" s="2" t="s">
        <v>20</v>
      </c>
      <c r="B43" s="4">
        <v>224</v>
      </c>
      <c r="C43" s="8">
        <v>0.47558386411889597</v>
      </c>
    </row>
    <row r="44" spans="1:14" x14ac:dyDescent="0.3">
      <c r="A44" s="2" t="s">
        <v>1</v>
      </c>
      <c r="B44" s="3">
        <v>471</v>
      </c>
      <c r="C44" s="8">
        <v>1</v>
      </c>
    </row>
    <row r="50" spans="1:4" x14ac:dyDescent="0.3">
      <c r="A50" s="9" t="s">
        <v>29</v>
      </c>
      <c r="B50" s="13" t="s">
        <v>30</v>
      </c>
      <c r="C50" s="13" t="s">
        <v>38</v>
      </c>
      <c r="D50" s="9"/>
    </row>
    <row r="51" spans="1:4" x14ac:dyDescent="0.3">
      <c r="A51" s="10" t="str">
        <f>A43</f>
        <v>Not Admitted</v>
      </c>
      <c r="B51" s="11">
        <f>B42</f>
        <v>247</v>
      </c>
      <c r="C51" s="12">
        <v>0.52109704641350207</v>
      </c>
      <c r="D51" s="10"/>
    </row>
    <row r="52" spans="1:4" x14ac:dyDescent="0.3">
      <c r="A52" s="10" t="str">
        <f>A42</f>
        <v>Admitted</v>
      </c>
      <c r="B52" s="11">
        <f>B43</f>
        <v>224</v>
      </c>
      <c r="C52" s="12">
        <v>0.47890295358649787</v>
      </c>
      <c r="D52" s="10"/>
    </row>
    <row r="57" spans="1:4" x14ac:dyDescent="0.3">
      <c r="A57" t="s">
        <v>40</v>
      </c>
    </row>
    <row r="58" spans="1:4" x14ac:dyDescent="0.3">
      <c r="A58" s="1" t="s">
        <v>0</v>
      </c>
      <c r="B58" t="s">
        <v>39</v>
      </c>
    </row>
    <row r="59" spans="1:4" x14ac:dyDescent="0.3">
      <c r="A59" s="2" t="s">
        <v>16</v>
      </c>
      <c r="B59" s="4">
        <v>77</v>
      </c>
    </row>
    <row r="60" spans="1:4" x14ac:dyDescent="0.3">
      <c r="A60" s="2" t="s">
        <v>11</v>
      </c>
      <c r="B60" s="4">
        <v>50</v>
      </c>
    </row>
    <row r="61" spans="1:4" x14ac:dyDescent="0.3">
      <c r="A61" s="2" t="s">
        <v>17</v>
      </c>
      <c r="B61" s="4">
        <v>67</v>
      </c>
    </row>
    <row r="62" spans="1:4" x14ac:dyDescent="0.3">
      <c r="A62" s="2" t="s">
        <v>18</v>
      </c>
      <c r="B62" s="4">
        <v>53</v>
      </c>
    </row>
    <row r="63" spans="1:4" x14ac:dyDescent="0.3">
      <c r="A63" s="2" t="s">
        <v>14</v>
      </c>
      <c r="B63" s="4">
        <v>59</v>
      </c>
    </row>
    <row r="64" spans="1:4" x14ac:dyDescent="0.3">
      <c r="A64" s="2" t="s">
        <v>15</v>
      </c>
      <c r="B64" s="4">
        <v>59</v>
      </c>
    </row>
    <row r="65" spans="1:2" x14ac:dyDescent="0.3">
      <c r="A65" s="2" t="s">
        <v>9</v>
      </c>
      <c r="B65" s="4">
        <v>48</v>
      </c>
    </row>
    <row r="66" spans="1:2" x14ac:dyDescent="0.3">
      <c r="A66" s="2" t="s">
        <v>13</v>
      </c>
      <c r="B66" s="4">
        <v>58</v>
      </c>
    </row>
    <row r="67" spans="1:2" x14ac:dyDescent="0.3">
      <c r="A67" s="2" t="s">
        <v>1</v>
      </c>
      <c r="B67" s="3">
        <v>471</v>
      </c>
    </row>
    <row r="72" spans="1:2" x14ac:dyDescent="0.3">
      <c r="A72" t="s">
        <v>42</v>
      </c>
    </row>
    <row r="73" spans="1:2" x14ac:dyDescent="0.3">
      <c r="A73" s="1" t="s">
        <v>0</v>
      </c>
      <c r="B73" t="s">
        <v>41</v>
      </c>
    </row>
    <row r="74" spans="1:2" x14ac:dyDescent="0.3">
      <c r="A74" s="2" t="s">
        <v>12</v>
      </c>
      <c r="B74" s="3">
        <v>262</v>
      </c>
    </row>
    <row r="75" spans="1:2" x14ac:dyDescent="0.3">
      <c r="A75" s="2" t="s">
        <v>10</v>
      </c>
      <c r="B75" s="3">
        <v>209</v>
      </c>
    </row>
    <row r="76" spans="1:2" x14ac:dyDescent="0.3">
      <c r="A76" s="2" t="s">
        <v>1</v>
      </c>
      <c r="B76" s="3">
        <v>471</v>
      </c>
    </row>
    <row r="80" spans="1:2" x14ac:dyDescent="0.3">
      <c r="A80" t="s">
        <v>44</v>
      </c>
    </row>
    <row r="81" spans="1:2" x14ac:dyDescent="0.3">
      <c r="A81" s="1" t="s">
        <v>0</v>
      </c>
      <c r="B81" t="s">
        <v>43</v>
      </c>
    </row>
    <row r="82" spans="1:2" x14ac:dyDescent="0.3">
      <c r="A82" s="2" t="s">
        <v>19</v>
      </c>
      <c r="B82" s="3">
        <v>227</v>
      </c>
    </row>
    <row r="83" spans="1:2" x14ac:dyDescent="0.3">
      <c r="A83" s="2" t="s">
        <v>6</v>
      </c>
      <c r="B83" s="3">
        <v>244</v>
      </c>
    </row>
    <row r="84" spans="1:2" x14ac:dyDescent="0.3">
      <c r="A84" s="2" t="s">
        <v>1</v>
      </c>
      <c r="B84" s="3">
        <v>471</v>
      </c>
    </row>
    <row r="88" spans="1:2" x14ac:dyDescent="0.3">
      <c r="A88" s="1" t="s">
        <v>0</v>
      </c>
      <c r="B88" t="s">
        <v>45</v>
      </c>
    </row>
    <row r="89" spans="1:2" x14ac:dyDescent="0.3">
      <c r="A89" s="2" t="s">
        <v>37</v>
      </c>
      <c r="B89" s="4">
        <v>1</v>
      </c>
    </row>
    <row r="90" spans="1:2" x14ac:dyDescent="0.3">
      <c r="A90" s="2" t="s">
        <v>36</v>
      </c>
      <c r="B90" s="4">
        <v>9</v>
      </c>
    </row>
    <row r="91" spans="1:2" x14ac:dyDescent="0.3">
      <c r="A91" s="2" t="s">
        <v>34</v>
      </c>
      <c r="B91" s="4">
        <v>13</v>
      </c>
    </row>
    <row r="92" spans="1:2" x14ac:dyDescent="0.3">
      <c r="A92" s="2" t="s">
        <v>35</v>
      </c>
      <c r="B92" s="4">
        <v>15</v>
      </c>
    </row>
    <row r="93" spans="1:2" x14ac:dyDescent="0.3">
      <c r="A93" s="2" t="s">
        <v>33</v>
      </c>
      <c r="B93" s="4">
        <v>17</v>
      </c>
    </row>
    <row r="94" spans="1:2" x14ac:dyDescent="0.3">
      <c r="A94" s="2" t="s">
        <v>32</v>
      </c>
      <c r="B94" s="4">
        <v>54</v>
      </c>
    </row>
    <row r="95" spans="1:2" x14ac:dyDescent="0.3">
      <c r="A95" s="2" t="s">
        <v>31</v>
      </c>
      <c r="B95" s="4">
        <v>96</v>
      </c>
    </row>
    <row r="96" spans="1:2" x14ac:dyDescent="0.3">
      <c r="A96" s="2" t="s">
        <v>7</v>
      </c>
      <c r="B96" s="4">
        <v>266</v>
      </c>
    </row>
    <row r="97" spans="1:2" x14ac:dyDescent="0.3">
      <c r="A97" s="2" t="s">
        <v>1</v>
      </c>
      <c r="B97" s="3">
        <v>471</v>
      </c>
    </row>
    <row r="103" spans="1:2" x14ac:dyDescent="0.3">
      <c r="A103" s="1" t="s">
        <v>0</v>
      </c>
    </row>
    <row r="104" spans="1:2" x14ac:dyDescent="0.3">
      <c r="A104" s="2" t="s">
        <v>77</v>
      </c>
    </row>
    <row r="105" spans="1:2" x14ac:dyDescent="0.3">
      <c r="A105" s="2" t="s">
        <v>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604C-CF29-47C2-B6F7-107EE0DEF7CE}">
  <dimension ref="A1:X21"/>
  <sheetViews>
    <sheetView tabSelected="1" zoomScale="148" workbookViewId="0">
      <selection activeCell="A2" sqref="A2"/>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t="s">
        <v>76</v>
      </c>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21" spans="4:4" x14ac:dyDescent="0.3">
      <c r="D21"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C0B69-6D30-42F9-868B-FC1D796CB2C3}">
  <dimension ref="A1:N18"/>
  <sheetViews>
    <sheetView zoomScale="145" workbookViewId="0"/>
  </sheetViews>
  <sheetFormatPr defaultRowHeight="14.4" x14ac:dyDescent="0.3"/>
  <sheetData>
    <row r="1" spans="1:14" x14ac:dyDescent="0.3">
      <c r="A1" s="7" t="s">
        <v>22</v>
      </c>
      <c r="B1" s="6"/>
      <c r="C1" s="6"/>
      <c r="D1" s="6"/>
      <c r="E1" s="6"/>
      <c r="F1" s="6"/>
      <c r="G1" s="6"/>
      <c r="H1" s="6"/>
      <c r="I1" s="6"/>
      <c r="J1" s="6"/>
      <c r="K1" s="6"/>
      <c r="L1" s="6"/>
      <c r="M1" s="6"/>
      <c r="N1" s="6"/>
    </row>
    <row r="2" spans="1:14" x14ac:dyDescent="0.3">
      <c r="A2" s="6"/>
      <c r="B2" s="6"/>
      <c r="C2" s="6"/>
      <c r="D2" s="6"/>
      <c r="E2" s="6"/>
      <c r="F2" s="6"/>
      <c r="G2" s="6"/>
      <c r="H2" s="6"/>
      <c r="I2" s="6"/>
      <c r="J2" s="6"/>
      <c r="K2" s="6"/>
      <c r="L2" s="6"/>
      <c r="M2" s="6"/>
      <c r="N2" s="6"/>
    </row>
    <row r="3" spans="1:14" x14ac:dyDescent="0.3">
      <c r="A3" s="6"/>
      <c r="B3" s="6"/>
      <c r="C3" s="6"/>
      <c r="D3" s="6"/>
      <c r="E3" s="6"/>
      <c r="F3" s="6"/>
      <c r="G3" s="6"/>
      <c r="H3" s="6"/>
      <c r="I3" s="6"/>
      <c r="J3" s="6"/>
      <c r="K3" s="6"/>
      <c r="L3" s="6"/>
      <c r="M3" s="6"/>
      <c r="N3" s="6"/>
    </row>
    <row r="4" spans="1:14" x14ac:dyDescent="0.3">
      <c r="A4" s="6"/>
      <c r="B4" s="6"/>
      <c r="C4" s="6"/>
      <c r="D4" s="6"/>
      <c r="E4" s="6"/>
      <c r="F4" s="6"/>
      <c r="G4" s="6"/>
      <c r="H4" s="6"/>
      <c r="I4" s="6"/>
      <c r="J4" s="6"/>
      <c r="K4" s="6"/>
      <c r="L4" s="6"/>
      <c r="M4" s="6"/>
      <c r="N4" s="6"/>
    </row>
    <row r="5" spans="1:14" x14ac:dyDescent="0.3">
      <c r="A5" s="6"/>
      <c r="B5" s="6"/>
      <c r="C5" s="6"/>
      <c r="D5" s="6"/>
      <c r="E5" s="6"/>
      <c r="F5" s="6"/>
      <c r="G5" s="6"/>
      <c r="H5" s="6"/>
      <c r="I5" s="6"/>
      <c r="J5" s="6"/>
      <c r="K5" s="6"/>
      <c r="L5" s="6"/>
      <c r="M5" s="6"/>
      <c r="N5" s="6"/>
    </row>
    <row r="6" spans="1:14" x14ac:dyDescent="0.3">
      <c r="A6" s="6"/>
      <c r="B6" s="6"/>
      <c r="C6" s="6"/>
      <c r="D6" s="6"/>
      <c r="E6" s="6"/>
      <c r="F6" s="6"/>
      <c r="G6" s="6"/>
      <c r="H6" s="6"/>
      <c r="I6" s="6"/>
      <c r="J6" s="6"/>
      <c r="K6" s="6"/>
      <c r="L6" s="6"/>
      <c r="M6" s="6"/>
      <c r="N6" s="6"/>
    </row>
    <row r="7" spans="1:14" x14ac:dyDescent="0.3">
      <c r="A7" s="6"/>
      <c r="B7" s="6"/>
      <c r="C7" s="6"/>
      <c r="D7" s="6"/>
      <c r="E7" s="6"/>
      <c r="F7" s="6"/>
      <c r="G7" s="6"/>
      <c r="H7" s="6"/>
      <c r="I7" s="6"/>
      <c r="J7" s="6"/>
      <c r="K7" s="6"/>
      <c r="L7" s="6"/>
      <c r="M7" s="6"/>
      <c r="N7" s="6"/>
    </row>
    <row r="8" spans="1:14" x14ac:dyDescent="0.3">
      <c r="A8" s="6"/>
      <c r="B8" s="6"/>
      <c r="C8" s="6"/>
      <c r="D8" s="6"/>
      <c r="E8" s="6"/>
      <c r="F8" s="6"/>
      <c r="G8" s="6"/>
      <c r="H8" s="6"/>
      <c r="I8" s="6"/>
      <c r="J8" s="6"/>
      <c r="K8" s="6"/>
      <c r="L8" s="6"/>
      <c r="M8" s="6"/>
      <c r="N8" s="6"/>
    </row>
    <row r="9" spans="1:14" x14ac:dyDescent="0.3">
      <c r="A9" s="6"/>
      <c r="B9" s="6"/>
      <c r="C9" s="6"/>
      <c r="D9" s="6"/>
      <c r="E9" s="6"/>
      <c r="F9" s="6"/>
      <c r="G9" s="6"/>
      <c r="H9" s="6"/>
      <c r="I9" s="6"/>
      <c r="J9" s="6"/>
      <c r="K9" s="6"/>
      <c r="L9" s="6"/>
      <c r="M9" s="6"/>
      <c r="N9" s="6"/>
    </row>
    <row r="10" spans="1:14" x14ac:dyDescent="0.3">
      <c r="A10" s="6"/>
      <c r="B10" s="6"/>
      <c r="C10" s="6"/>
      <c r="D10" s="6"/>
      <c r="E10" s="6"/>
      <c r="F10" s="6"/>
      <c r="G10" s="6"/>
      <c r="H10" s="6"/>
      <c r="I10" s="6"/>
      <c r="J10" s="6"/>
      <c r="K10" s="6"/>
      <c r="L10" s="6"/>
      <c r="M10" s="6"/>
      <c r="N10" s="6"/>
    </row>
    <row r="11" spans="1:14" x14ac:dyDescent="0.3">
      <c r="A11" s="6"/>
      <c r="B11" s="6"/>
      <c r="C11" s="6"/>
      <c r="D11" s="6"/>
      <c r="E11" s="6"/>
      <c r="F11" s="6"/>
      <c r="G11" s="6"/>
      <c r="H11" s="6"/>
      <c r="I11" s="6"/>
      <c r="J11" s="6"/>
      <c r="K11" s="6"/>
      <c r="L11" s="6"/>
      <c r="M11" s="6"/>
      <c r="N11" s="6"/>
    </row>
    <row r="12" spans="1:14" x14ac:dyDescent="0.3">
      <c r="A12" s="6"/>
      <c r="B12" s="6"/>
      <c r="C12" s="6"/>
      <c r="D12" s="6"/>
      <c r="E12" s="6"/>
      <c r="F12" s="6"/>
      <c r="G12" s="6"/>
      <c r="H12" s="6"/>
      <c r="I12" s="6"/>
      <c r="J12" s="6"/>
      <c r="K12" s="6"/>
      <c r="L12" s="6"/>
      <c r="M12" s="6"/>
      <c r="N12" s="6"/>
    </row>
    <row r="13" spans="1:14" x14ac:dyDescent="0.3">
      <c r="A13" s="6"/>
      <c r="B13" s="6"/>
      <c r="C13" s="6"/>
      <c r="D13" s="6"/>
      <c r="E13" s="6"/>
      <c r="F13" s="6"/>
      <c r="G13" s="6"/>
      <c r="H13" s="6"/>
      <c r="I13" s="6"/>
      <c r="J13" s="6"/>
      <c r="K13" s="6"/>
      <c r="L13" s="6"/>
      <c r="M13" s="6"/>
      <c r="N13" s="6"/>
    </row>
    <row r="14" spans="1:14" x14ac:dyDescent="0.3">
      <c r="A14" s="6"/>
      <c r="B14" s="6"/>
      <c r="C14" s="6"/>
      <c r="D14" s="6"/>
      <c r="E14" s="6"/>
      <c r="F14" s="6"/>
      <c r="G14" s="6"/>
      <c r="H14" s="6"/>
      <c r="I14" s="6"/>
      <c r="J14" s="6"/>
      <c r="K14" s="6"/>
      <c r="L14" s="6"/>
      <c r="M14" s="6"/>
      <c r="N14" s="6"/>
    </row>
    <row r="15" spans="1:14" x14ac:dyDescent="0.3">
      <c r="A15" s="6"/>
      <c r="B15" s="6"/>
      <c r="C15" s="6"/>
      <c r="D15" s="6"/>
      <c r="E15" s="6"/>
      <c r="F15" s="6"/>
      <c r="G15" s="6"/>
      <c r="H15" s="6"/>
      <c r="I15" s="6"/>
      <c r="J15" s="6"/>
      <c r="K15" s="6"/>
      <c r="L15" s="6"/>
      <c r="M15" s="6"/>
      <c r="N15" s="6"/>
    </row>
    <row r="16" spans="1:14" x14ac:dyDescent="0.3">
      <c r="A16" s="6"/>
      <c r="B16" s="6"/>
      <c r="C16" s="6"/>
      <c r="D16" s="6"/>
      <c r="E16" s="6"/>
      <c r="F16" s="6"/>
      <c r="G16" s="6"/>
      <c r="H16" s="6"/>
      <c r="I16" s="6"/>
      <c r="J16" s="6"/>
      <c r="K16" s="6"/>
      <c r="L16" s="6"/>
      <c r="M16" s="6"/>
      <c r="N16" s="6"/>
    </row>
    <row r="17" spans="1:14" x14ac:dyDescent="0.3">
      <c r="A17" s="6"/>
      <c r="B17" s="6"/>
      <c r="C17" s="6" t="s">
        <v>21</v>
      </c>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sheetData>
  <hyperlinks>
    <hyperlink ref="A1" location="Dashboard!A1" display="Dashboard!A1" xr:uid="{A66A565B-995C-4973-B571-82974095923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E332-C350-446B-8173-4E5595A6CE4C}">
  <dimension ref="A1:O22"/>
  <sheetViews>
    <sheetView zoomScale="124" workbookViewId="0"/>
  </sheetViews>
  <sheetFormatPr defaultRowHeight="14.4" x14ac:dyDescent="0.3"/>
  <sheetData>
    <row r="1" spans="1:15" x14ac:dyDescent="0.3">
      <c r="O1" s="6"/>
    </row>
    <row r="2" spans="1:15" x14ac:dyDescent="0.3">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A749-A0BE-43DB-9D44-312D52BD3A3A}">
  <dimension ref="D1:S18"/>
  <sheetViews>
    <sheetView zoomScale="150" workbookViewId="0"/>
  </sheetViews>
  <sheetFormatPr defaultRowHeight="14.4" x14ac:dyDescent="0.3"/>
  <sheetData>
    <row r="1" spans="4:19" x14ac:dyDescent="0.3">
      <c r="D1" s="6"/>
      <c r="E1" s="6"/>
      <c r="F1" s="6"/>
      <c r="G1" s="6"/>
      <c r="H1" s="6"/>
      <c r="I1" s="6"/>
      <c r="J1" s="6"/>
      <c r="K1" s="6"/>
      <c r="L1" s="6"/>
      <c r="M1" s="6"/>
      <c r="N1" s="6"/>
      <c r="O1" s="6"/>
      <c r="P1" s="6"/>
      <c r="Q1" s="6"/>
      <c r="R1" s="6"/>
      <c r="S1" s="6"/>
    </row>
    <row r="2" spans="4:19" x14ac:dyDescent="0.3">
      <c r="D2" s="6"/>
      <c r="E2" s="6"/>
      <c r="F2" s="6"/>
      <c r="G2" s="6"/>
      <c r="H2" s="6"/>
      <c r="I2" s="6"/>
      <c r="J2" s="6"/>
      <c r="K2" s="6"/>
      <c r="L2" s="6"/>
      <c r="M2" s="6"/>
      <c r="N2" s="6"/>
      <c r="O2" s="6"/>
      <c r="P2" s="6"/>
      <c r="Q2" s="6"/>
      <c r="R2" s="6"/>
      <c r="S2" s="6"/>
    </row>
    <row r="3" spans="4:19" x14ac:dyDescent="0.3">
      <c r="D3" s="6"/>
      <c r="E3" s="6"/>
      <c r="F3" s="6"/>
      <c r="G3" s="6"/>
      <c r="H3" s="6"/>
      <c r="I3" s="6"/>
      <c r="J3" s="6"/>
      <c r="K3" s="6"/>
      <c r="L3" s="6"/>
      <c r="M3" s="6"/>
      <c r="N3" s="6"/>
      <c r="O3" s="6"/>
      <c r="P3" s="6"/>
      <c r="Q3" s="6"/>
      <c r="R3" s="6"/>
      <c r="S3" s="6"/>
    </row>
    <row r="4" spans="4:19" x14ac:dyDescent="0.3">
      <c r="D4" s="6"/>
      <c r="E4" s="6"/>
      <c r="F4" s="6"/>
      <c r="G4" s="6"/>
      <c r="H4" s="6"/>
      <c r="I4" s="6"/>
      <c r="J4" s="6"/>
      <c r="K4" s="6"/>
      <c r="L4" s="6"/>
      <c r="M4" s="6"/>
      <c r="N4" s="6"/>
      <c r="O4" s="6"/>
      <c r="P4" s="6"/>
      <c r="Q4" s="6"/>
      <c r="R4" s="6"/>
      <c r="S4" s="6"/>
    </row>
    <row r="5" spans="4:19" x14ac:dyDescent="0.3">
      <c r="D5" s="6"/>
      <c r="E5" s="6"/>
      <c r="F5" s="6"/>
      <c r="G5" s="6"/>
      <c r="H5" s="6"/>
      <c r="I5" s="6"/>
      <c r="J5" s="6"/>
      <c r="K5" s="6"/>
      <c r="L5" s="6"/>
      <c r="M5" s="6"/>
      <c r="N5" s="6"/>
      <c r="O5" s="6"/>
      <c r="P5" s="6"/>
      <c r="Q5" s="6"/>
      <c r="R5" s="6"/>
      <c r="S5" s="6"/>
    </row>
    <row r="6" spans="4:19" x14ac:dyDescent="0.3">
      <c r="D6" s="6"/>
      <c r="E6" s="6"/>
      <c r="F6" s="6"/>
      <c r="G6" s="6"/>
      <c r="H6" s="6"/>
      <c r="I6" s="6"/>
      <c r="J6" s="6"/>
      <c r="K6" s="6"/>
      <c r="L6" s="6"/>
      <c r="M6" s="6"/>
      <c r="N6" s="6"/>
      <c r="O6" s="6"/>
      <c r="P6" s="6"/>
      <c r="Q6" s="6"/>
      <c r="R6" s="6"/>
      <c r="S6" s="6"/>
    </row>
    <row r="7" spans="4:19" x14ac:dyDescent="0.3">
      <c r="D7" s="6"/>
      <c r="E7" s="6"/>
      <c r="F7" s="6"/>
      <c r="G7" s="6"/>
      <c r="H7" s="6"/>
      <c r="I7" s="6"/>
      <c r="J7" s="6"/>
      <c r="K7" s="6"/>
      <c r="L7" s="6"/>
      <c r="M7" s="6"/>
      <c r="N7" s="6"/>
      <c r="O7" s="6"/>
      <c r="P7" s="6"/>
      <c r="Q7" s="6"/>
      <c r="R7" s="6"/>
      <c r="S7" s="6"/>
    </row>
    <row r="8" spans="4:19" x14ac:dyDescent="0.3">
      <c r="D8" s="6"/>
      <c r="E8" s="6"/>
      <c r="F8" s="6"/>
      <c r="G8" s="6"/>
      <c r="H8" s="6"/>
      <c r="I8" s="6"/>
      <c r="J8" s="6"/>
      <c r="K8" s="6"/>
      <c r="L8" s="6"/>
      <c r="M8" s="6"/>
      <c r="N8" s="6"/>
      <c r="O8" s="6"/>
      <c r="P8" s="6"/>
      <c r="Q8" s="6"/>
      <c r="R8" s="6"/>
      <c r="S8" s="6"/>
    </row>
    <row r="9" spans="4:19" x14ac:dyDescent="0.3">
      <c r="D9" s="6"/>
      <c r="E9" s="6"/>
      <c r="F9" s="6"/>
      <c r="G9" s="6"/>
      <c r="H9" s="6"/>
      <c r="I9" s="6"/>
      <c r="J9" s="6"/>
      <c r="K9" s="6"/>
      <c r="L9" s="6"/>
      <c r="M9" s="6"/>
      <c r="N9" s="6"/>
      <c r="O9" s="6"/>
      <c r="P9" s="6"/>
      <c r="Q9" s="6"/>
      <c r="R9" s="6"/>
      <c r="S9" s="6"/>
    </row>
    <row r="10" spans="4:19" x14ac:dyDescent="0.3">
      <c r="D10" s="6"/>
      <c r="E10" s="6"/>
      <c r="F10" s="6"/>
      <c r="G10" s="6"/>
      <c r="H10" s="6"/>
      <c r="I10" s="6"/>
      <c r="J10" s="6"/>
      <c r="K10" s="6"/>
      <c r="L10" s="6"/>
      <c r="M10" s="6"/>
      <c r="N10" s="6"/>
      <c r="O10" s="6"/>
      <c r="P10" s="6"/>
      <c r="Q10" s="6"/>
      <c r="R10" s="6"/>
      <c r="S10" s="6"/>
    </row>
    <row r="11" spans="4:19" x14ac:dyDescent="0.3">
      <c r="D11" s="6"/>
      <c r="E11" s="6"/>
      <c r="F11" s="6"/>
      <c r="G11" s="6"/>
      <c r="H11" s="6"/>
      <c r="I11" s="6"/>
      <c r="J11" s="6"/>
      <c r="K11" s="6"/>
      <c r="L11" s="6"/>
      <c r="M11" s="6"/>
      <c r="N11" s="6"/>
      <c r="O11" s="6"/>
      <c r="P11" s="6"/>
      <c r="Q11" s="6"/>
      <c r="R11" s="6"/>
      <c r="S11" s="6"/>
    </row>
    <row r="12" spans="4:19" x14ac:dyDescent="0.3">
      <c r="D12" s="6"/>
      <c r="E12" s="6"/>
      <c r="F12" s="6"/>
      <c r="G12" s="6"/>
      <c r="H12" s="6"/>
      <c r="I12" s="6"/>
      <c r="J12" s="6"/>
      <c r="K12" s="6"/>
      <c r="L12" s="6"/>
      <c r="M12" s="6"/>
      <c r="N12" s="6"/>
      <c r="O12" s="6"/>
      <c r="P12" s="6"/>
      <c r="Q12" s="6"/>
      <c r="R12" s="6"/>
      <c r="S12" s="6"/>
    </row>
    <row r="13" spans="4:19" x14ac:dyDescent="0.3">
      <c r="D13" s="6"/>
      <c r="E13" s="6"/>
      <c r="F13" s="6"/>
      <c r="G13" s="6"/>
      <c r="H13" s="6"/>
      <c r="I13" s="6"/>
      <c r="J13" s="6"/>
      <c r="K13" s="6"/>
      <c r="L13" s="6"/>
      <c r="M13" s="6"/>
      <c r="N13" s="6"/>
      <c r="O13" s="6"/>
      <c r="P13" s="6"/>
      <c r="Q13" s="6"/>
      <c r="R13" s="6"/>
      <c r="S13" s="6"/>
    </row>
    <row r="14" spans="4:19" x14ac:dyDescent="0.3">
      <c r="D14" s="6"/>
      <c r="E14" s="6"/>
      <c r="F14" s="6"/>
      <c r="G14" s="6"/>
      <c r="H14" s="6"/>
      <c r="I14" s="6"/>
      <c r="J14" s="6"/>
      <c r="K14" s="6"/>
      <c r="L14" s="6"/>
      <c r="M14" s="6"/>
      <c r="N14" s="6"/>
      <c r="O14" s="6"/>
      <c r="P14" s="6"/>
      <c r="Q14" s="6"/>
      <c r="R14" s="6"/>
      <c r="S14" s="6"/>
    </row>
    <row r="15" spans="4:19" x14ac:dyDescent="0.3">
      <c r="D15" s="6"/>
      <c r="E15" s="6"/>
      <c r="F15" s="6"/>
      <c r="G15" s="6"/>
      <c r="H15" s="6"/>
      <c r="I15" s="6"/>
      <c r="J15" s="6"/>
      <c r="K15" s="6"/>
      <c r="L15" s="6"/>
      <c r="M15" s="6"/>
      <c r="N15" s="6"/>
      <c r="O15" s="6"/>
      <c r="P15" s="6"/>
      <c r="Q15" s="6"/>
      <c r="R15" s="6"/>
      <c r="S15" s="6"/>
    </row>
    <row r="16" spans="4:19" x14ac:dyDescent="0.3">
      <c r="D16" s="6"/>
      <c r="E16" s="6"/>
      <c r="F16" s="6"/>
      <c r="G16" s="6"/>
      <c r="H16" s="6"/>
      <c r="I16" s="6"/>
      <c r="J16" s="6"/>
      <c r="K16" s="6"/>
      <c r="L16" s="6"/>
      <c r="M16" s="6"/>
      <c r="N16" s="6"/>
      <c r="O16" s="6"/>
      <c r="P16" s="6"/>
      <c r="Q16" s="6"/>
      <c r="R16" s="6"/>
      <c r="S16" s="6"/>
    </row>
    <row r="17" spans="4:19" x14ac:dyDescent="0.3">
      <c r="D17" s="6"/>
      <c r="E17" s="6"/>
      <c r="F17" s="6" t="s">
        <v>26</v>
      </c>
      <c r="G17" s="6"/>
      <c r="H17" s="6"/>
      <c r="I17" s="6"/>
      <c r="J17" s="6"/>
      <c r="K17" s="6"/>
      <c r="L17" s="6"/>
      <c r="M17" s="6"/>
      <c r="N17" s="6"/>
      <c r="O17" s="6"/>
      <c r="P17" s="6"/>
      <c r="Q17" s="6"/>
      <c r="R17" s="6"/>
      <c r="S17" s="6"/>
    </row>
    <row r="18" spans="4:19" x14ac:dyDescent="0.3">
      <c r="D18" s="6"/>
      <c r="E18" s="6"/>
      <c r="F18" s="6"/>
      <c r="G18" s="6"/>
      <c r="H18" s="6"/>
      <c r="I18" s="6"/>
      <c r="J18" s="6"/>
      <c r="K18" s="6"/>
      <c r="L18" s="6"/>
      <c r="M18" s="6"/>
      <c r="N18" s="6"/>
      <c r="O18" s="6"/>
      <c r="P18" s="6"/>
      <c r="Q18" s="6"/>
      <c r="R18" s="6"/>
      <c r="S18"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8A9E678-8FFC-4CBE-B572-D14786B6D36A}">
  <ds:schemaRefs/>
</ds:datastoreItem>
</file>

<file path=customXml/itemProps2.xml><?xml version="1.0" encoding="utf-8"?>
<ds:datastoreItem xmlns:ds="http://schemas.openxmlformats.org/officeDocument/2006/customXml" ds:itemID="{5B262F2E-0D9A-4059-A249-2C50D3A264A1}">
  <ds:schemaRefs>
    <ds:schemaRef ds:uri="http://schemas.microsoft.com/DataMashup"/>
  </ds:schemaRefs>
</ds:datastoreItem>
</file>

<file path=customXml/itemProps3.xml><?xml version="1.0" encoding="utf-8"?>
<ds:datastoreItem xmlns:ds="http://schemas.openxmlformats.org/officeDocument/2006/customXml" ds:itemID="{EDD9B08B-90B5-47D7-BD5B-E05F3091A17B}">
  <ds:schemaRefs/>
</ds:datastoreItem>
</file>

<file path=customXml/itemProps4.xml><?xml version="1.0" encoding="utf-8"?>
<ds:datastoreItem xmlns:ds="http://schemas.openxmlformats.org/officeDocument/2006/customXml" ds:itemID="{E1A920C3-A27E-41BA-88A0-D547637EBE98}">
  <ds:schemaRefs/>
</ds:datastoreItem>
</file>

<file path=customXml/itemProps5.xml><?xml version="1.0" encoding="utf-8"?>
<ds:datastoreItem xmlns:ds="http://schemas.openxmlformats.org/officeDocument/2006/customXml" ds:itemID="{47D602FA-146C-4FC5-A0E7-D0F882E64B8E}">
  <ds:schemaRefs/>
</ds:datastoreItem>
</file>

<file path=customXml/itemProps6.xml><?xml version="1.0" encoding="utf-8"?>
<ds:datastoreItem xmlns:ds="http://schemas.openxmlformats.org/officeDocument/2006/customXml" ds:itemID="{35AE686D-A9A9-4243-BCF1-826BD3792021}">
  <ds:schemaRefs/>
</ds:datastoreItem>
</file>

<file path=customXml/itemProps7.xml><?xml version="1.0" encoding="utf-8"?>
<ds:datastoreItem xmlns:ds="http://schemas.openxmlformats.org/officeDocument/2006/customXml" ds:itemID="{02BBD3A0-3F59-4028-9E8F-FEDCBEC7C2AF}">
  <ds:schemaRefs/>
</ds:datastoreItem>
</file>

<file path=customXml/itemProps8.xml><?xml version="1.0" encoding="utf-8"?>
<ds:datastoreItem xmlns:ds="http://schemas.openxmlformats.org/officeDocument/2006/customXml" ds:itemID="{B75F9377-7410-4ED9-8800-39C839487280}">
  <ds:schemaRefs/>
</ds:datastoreItem>
</file>

<file path=customXml/itemProps9.xml><?xml version="1.0" encoding="utf-8"?>
<ds:datastoreItem xmlns:ds="http://schemas.openxmlformats.org/officeDocument/2006/customXml" ds:itemID="{EC6FD607-8F5E-42A5-A4A9-B7604F9E3361}">
  <ds:schemaRefs/>
</ds:datastoreItem>
</file>

<file path=customXml/itemProps10.xml><?xml version="1.0" encoding="utf-8"?>
<ds:datastoreItem xmlns:ds="http://schemas.openxmlformats.org/officeDocument/2006/customXml" ds:itemID="{0A8B9181-2C00-459C-A02F-08B48F87D139}">
  <ds:schemaRefs/>
</ds:datastoreItem>
</file>

<file path=customXml/itemProps11.xml><?xml version="1.0" encoding="utf-8"?>
<ds:datastoreItem xmlns:ds="http://schemas.openxmlformats.org/officeDocument/2006/customXml" ds:itemID="{00830536-6341-4EFC-8DE2-3FB644D87162}">
  <ds:schemaRefs/>
</ds:datastoreItem>
</file>

<file path=customXml/itemProps12.xml><?xml version="1.0" encoding="utf-8"?>
<ds:datastoreItem xmlns:ds="http://schemas.openxmlformats.org/officeDocument/2006/customXml" ds:itemID="{72335CAC-1233-48E3-91FE-91E011A2CD95}">
  <ds:schemaRefs/>
</ds:datastoreItem>
</file>

<file path=customXml/itemProps13.xml><?xml version="1.0" encoding="utf-8"?>
<ds:datastoreItem xmlns:ds="http://schemas.openxmlformats.org/officeDocument/2006/customXml" ds:itemID="{22B7D824-0C88-47E7-88FA-56AD21CC7BAF}">
  <ds:schemaRefs/>
</ds:datastoreItem>
</file>

<file path=customXml/itemProps14.xml><?xml version="1.0" encoding="utf-8"?>
<ds:datastoreItem xmlns:ds="http://schemas.openxmlformats.org/officeDocument/2006/customXml" ds:itemID="{DA9A20A0-0D93-4C46-B0D7-839B391CD7B1}">
  <ds:schemaRefs/>
</ds:datastoreItem>
</file>

<file path=customXml/itemProps15.xml><?xml version="1.0" encoding="utf-8"?>
<ds:datastoreItem xmlns:ds="http://schemas.openxmlformats.org/officeDocument/2006/customXml" ds:itemID="{CC6FB487-3A79-4480-A3E4-7D8D8E45B077}">
  <ds:schemaRefs/>
</ds:datastoreItem>
</file>

<file path=customXml/itemProps16.xml><?xml version="1.0" encoding="utf-8"?>
<ds:datastoreItem xmlns:ds="http://schemas.openxmlformats.org/officeDocument/2006/customXml" ds:itemID="{B3CB09BC-60DC-4A66-854F-6D6B22E4092D}">
  <ds:schemaRefs/>
</ds:datastoreItem>
</file>

<file path=customXml/itemProps17.xml><?xml version="1.0" encoding="utf-8"?>
<ds:datastoreItem xmlns:ds="http://schemas.openxmlformats.org/officeDocument/2006/customXml" ds:itemID="{8FD46FAC-CC97-454B-A1E1-110DD2AFCCE2}">
  <ds:schemaRefs/>
</ds:datastoreItem>
</file>

<file path=customXml/itemProps18.xml><?xml version="1.0" encoding="utf-8"?>
<ds:datastoreItem xmlns:ds="http://schemas.openxmlformats.org/officeDocument/2006/customXml" ds:itemID="{6690532D-A5F1-4168-A954-04AB86B939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trends</vt:lpstr>
      <vt:lpstr>statisfaction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 Mahajan</dc:creator>
  <cp:lastModifiedBy>Lina Mahajan</cp:lastModifiedBy>
  <dcterms:created xsi:type="dcterms:W3CDTF">2026-03-15T05:59:37Z</dcterms:created>
  <dcterms:modified xsi:type="dcterms:W3CDTF">2026-06-10T13:54:22Z</dcterms:modified>
</cp:coreProperties>
</file>